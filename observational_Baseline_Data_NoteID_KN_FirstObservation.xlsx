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huon\Desktop\"/>
    </mc:Choice>
  </mc:AlternateContent>
  <xr:revisionPtr revIDLastSave="0" documentId="13_ncr:1_{BC6B3BA3-DCA7-4C7F-9F29-447423A1CFF1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Consent Form" sheetId="5" r:id="rId1"/>
    <sheet name="Formulas" sheetId="3" state="hidden" r:id="rId2"/>
    <sheet name="Benchmarking" sheetId="2" r:id="rId3"/>
    <sheet name="Sheet1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4" i="2" l="1"/>
  <c r="L159" i="2"/>
  <c r="L150" i="2"/>
  <c r="M150" i="2"/>
  <c r="L148" i="2"/>
  <c r="L133" i="2"/>
  <c r="L103" i="2"/>
  <c r="L102" i="2"/>
  <c r="L101" i="2"/>
  <c r="L99" i="2"/>
  <c r="L100" i="2"/>
  <c r="L98" i="2"/>
  <c r="L97" i="2"/>
  <c r="L96" i="2"/>
  <c r="L173" i="2"/>
  <c r="M173" i="2"/>
  <c r="M158" i="2"/>
  <c r="M209" i="2"/>
  <c r="M206" i="2"/>
  <c r="L208" i="2"/>
  <c r="L207" i="2"/>
  <c r="M207" i="2"/>
  <c r="L117" i="2"/>
  <c r="L158" i="2"/>
  <c r="L160" i="2"/>
  <c r="L83" i="2"/>
  <c r="M133" i="2"/>
  <c r="L114" i="2"/>
  <c r="M114" i="2" s="1"/>
  <c r="R1" i="2"/>
  <c r="M79" i="2"/>
  <c r="L79" i="2"/>
  <c r="M78" i="2"/>
  <c r="L78" i="2"/>
  <c r="M77" i="2"/>
  <c r="L77" i="2"/>
  <c r="M74" i="2"/>
  <c r="L74" i="2"/>
  <c r="L72" i="2"/>
  <c r="M73" i="2"/>
  <c r="M68" i="2"/>
  <c r="M69" i="2"/>
  <c r="M70" i="2"/>
  <c r="M67" i="2"/>
  <c r="L68" i="2"/>
  <c r="L67" i="2"/>
  <c r="L69" i="2"/>
  <c r="L21" i="2"/>
  <c r="L4" i="2"/>
  <c r="L5" i="2"/>
  <c r="L6" i="2"/>
  <c r="L7" i="2"/>
  <c r="L8" i="2"/>
  <c r="L9" i="2"/>
  <c r="L11" i="2"/>
  <c r="L12" i="2"/>
  <c r="L13" i="2"/>
  <c r="L14" i="2"/>
  <c r="L15" i="2"/>
  <c r="L16" i="2"/>
  <c r="L17" i="2"/>
  <c r="L18" i="2"/>
  <c r="L19" i="2"/>
  <c r="L20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5" i="2"/>
  <c r="L70" i="2"/>
  <c r="L71" i="2"/>
  <c r="M71" i="2"/>
  <c r="L73" i="2"/>
  <c r="L75" i="2"/>
  <c r="L76" i="2"/>
  <c r="L80" i="2"/>
  <c r="L81" i="2"/>
  <c r="L82" i="2"/>
  <c r="M82" i="2" s="1"/>
  <c r="L84" i="2"/>
  <c r="L85" i="2"/>
  <c r="L86" i="2"/>
  <c r="L87" i="2"/>
  <c r="L88" i="2"/>
  <c r="L89" i="2"/>
  <c r="L90" i="2"/>
  <c r="L91" i="2"/>
  <c r="L92" i="2"/>
  <c r="L93" i="2"/>
  <c r="M93" i="2" s="1"/>
  <c r="L94" i="2"/>
  <c r="M94" i="2" s="1"/>
  <c r="L95" i="2"/>
  <c r="M95" i="2" s="1"/>
  <c r="M96" i="2"/>
  <c r="M97" i="2"/>
  <c r="M98" i="2"/>
  <c r="M99" i="2"/>
  <c r="M100" i="2"/>
  <c r="M101" i="2"/>
  <c r="M102" i="2"/>
  <c r="M103" i="2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L113" i="2"/>
  <c r="L115" i="2"/>
  <c r="M115" i="2" s="1"/>
  <c r="L116" i="2"/>
  <c r="L118" i="2"/>
  <c r="M118" i="2" s="1"/>
  <c r="L119" i="2"/>
  <c r="M119" i="2" s="1"/>
  <c r="L120" i="2"/>
  <c r="M120" i="2" s="1"/>
  <c r="L121" i="2"/>
  <c r="M121" i="2" s="1"/>
  <c r="L122" i="2"/>
  <c r="L123" i="2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L141" i="2"/>
  <c r="L142" i="2"/>
  <c r="M142" i="2" s="1"/>
  <c r="L144" i="2"/>
  <c r="L145" i="2"/>
  <c r="L146" i="2"/>
  <c r="L147" i="2"/>
  <c r="L149" i="2"/>
  <c r="M149" i="2" s="1"/>
  <c r="L151" i="2"/>
  <c r="L152" i="2"/>
  <c r="L153" i="2"/>
  <c r="L154" i="2"/>
  <c r="M154" i="2" s="1"/>
  <c r="L155" i="2"/>
  <c r="L156" i="2"/>
  <c r="L157" i="2"/>
  <c r="M157" i="2" s="1"/>
  <c r="L161" i="2"/>
  <c r="L162" i="2"/>
  <c r="L163" i="2"/>
  <c r="M163" i="2" s="1"/>
  <c r="L164" i="2"/>
  <c r="M164" i="2" s="1"/>
  <c r="L165" i="2"/>
  <c r="M165" i="2" s="1"/>
  <c r="L166" i="2"/>
  <c r="M166" i="2" s="1"/>
  <c r="L167" i="2"/>
  <c r="L168" i="2"/>
  <c r="L169" i="2"/>
  <c r="M169" i="2" s="1"/>
  <c r="L170" i="2"/>
  <c r="M170" i="2" s="1"/>
  <c r="L171" i="2"/>
  <c r="M171" i="2" s="1"/>
  <c r="L172" i="2"/>
  <c r="M172" i="2" s="1"/>
  <c r="L174" i="2"/>
  <c r="L175" i="2"/>
  <c r="M175" i="2" s="1"/>
  <c r="L176" i="2"/>
  <c r="M176" i="2" s="1"/>
  <c r="L177" i="2"/>
  <c r="M177" i="2" s="1"/>
  <c r="L178" i="2"/>
  <c r="L179" i="2"/>
  <c r="L180" i="2"/>
  <c r="L181" i="2"/>
  <c r="L182" i="2"/>
  <c r="L183" i="2"/>
  <c r="L184" i="2"/>
  <c r="L185" i="2"/>
  <c r="L186" i="2"/>
  <c r="L187" i="2"/>
  <c r="L188" i="2"/>
  <c r="M188" i="2" s="1"/>
  <c r="L189" i="2"/>
  <c r="M189" i="2" s="1"/>
  <c r="L190" i="2"/>
  <c r="M190" i="2" s="1"/>
  <c r="L191" i="2"/>
  <c r="L192" i="2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L201" i="2"/>
  <c r="L202" i="2"/>
  <c r="M202" i="2" s="1"/>
  <c r="L203" i="2"/>
  <c r="M203" i="2" s="1"/>
  <c r="L204" i="2"/>
  <c r="L205" i="2"/>
  <c r="L206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3" i="2"/>
  <c r="L2" i="2"/>
  <c r="M2" i="2" s="1"/>
  <c r="M200" i="2" l="1"/>
  <c r="M191" i="2"/>
  <c r="M186" i="2"/>
  <c r="M182" i="2"/>
  <c r="M178" i="2"/>
  <c r="M167" i="2"/>
  <c r="M161" i="2"/>
  <c r="M155" i="2"/>
  <c r="M140" i="2"/>
  <c r="M122" i="2"/>
  <c r="M116" i="2"/>
  <c r="M112" i="2"/>
  <c r="M91" i="2"/>
  <c r="M88" i="2"/>
  <c r="M84" i="2"/>
  <c r="M80" i="2"/>
  <c r="M75" i="2"/>
  <c r="M5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</calcChain>
</file>

<file path=xl/sharedStrings.xml><?xml version="1.0" encoding="utf-8"?>
<sst xmlns="http://schemas.openxmlformats.org/spreadsheetml/2006/main" count="246" uniqueCount="175">
  <si>
    <t>Defintion of Charting</t>
  </si>
  <si>
    <t>Any documentation of progress notes in PointClickCare only.</t>
  </si>
  <si>
    <t xml:space="preserve">This does not include any documentation done for UDAs, weights/vitals, care plans, or any other forms. </t>
  </si>
  <si>
    <r>
      <t xml:space="preserve">Note: Benchmarking activities to occur on all neighbourhoods </t>
    </r>
    <r>
      <rPr>
        <b/>
        <sz val="11"/>
        <color theme="1"/>
        <rFont val="Calibri"/>
        <family val="2"/>
        <scheme val="minor"/>
      </rPr>
      <t>except</t>
    </r>
    <r>
      <rPr>
        <sz val="11"/>
        <color theme="1"/>
        <rFont val="Calibri"/>
        <family val="2"/>
        <scheme val="minor"/>
      </rPr>
      <t xml:space="preserve"> for Addenbrooke (4th floor) </t>
    </r>
  </si>
  <si>
    <t>Note: Residents and families do not have the right to decline benchmarking activities (except for survey participation)</t>
  </si>
  <si>
    <t xml:space="preserve">Time block </t>
  </si>
  <si>
    <t>7:00-9:00</t>
  </si>
  <si>
    <t>9:00-11:00</t>
  </si>
  <si>
    <t>11:00-1:00</t>
  </si>
  <si>
    <t>1:00-3:00</t>
  </si>
  <si>
    <t>Entry #</t>
  </si>
  <si>
    <t xml:space="preserve">Date </t>
  </si>
  <si>
    <t>Nurse ID #</t>
  </si>
  <si>
    <t>RN or LPN?</t>
  </si>
  <si>
    <t>FT, PT, or C?</t>
  </si>
  <si>
    <t xml:space="preserve">Time Block </t>
  </si>
  <si>
    <t>Progress Note #</t>
  </si>
  <si>
    <t>Progress Note ID #</t>
  </si>
  <si>
    <t xml:space="preserve"> Progress Note Start Time</t>
  </si>
  <si>
    <t xml:space="preserve">Start time </t>
  </si>
  <si>
    <t>End Time</t>
  </si>
  <si>
    <t>Time per Charting Moment</t>
  </si>
  <si>
    <t>Total Time per Progress Note</t>
  </si>
  <si>
    <t>Progress Note End Time</t>
  </si>
  <si>
    <t># of Progress Notes Per Time Block</t>
  </si>
  <si>
    <t xml:space="preserve">Notes </t>
  </si>
  <si>
    <t xml:space="preserve">Total # of Progress Notes </t>
  </si>
  <si>
    <t>RN</t>
  </si>
  <si>
    <t>PT</t>
  </si>
  <si>
    <t>0930-1230</t>
  </si>
  <si>
    <t>Ex ID1</t>
  </si>
  <si>
    <t>Example (Exclude From Analysis)</t>
  </si>
  <si>
    <t xml:space="preserve">2/2 progress notes were started and completed during this time block </t>
  </si>
  <si>
    <t xml:space="preserve">Instructions </t>
  </si>
  <si>
    <t xml:space="preserve">Give introduction and read consent form to nurse. Emphasize the importance of charting as they typically would. This is not an evaluation. </t>
  </si>
  <si>
    <t>Ex ID2</t>
  </si>
  <si>
    <t>Enter Entry # in Column A. Use the same Entry # for the entire shift (time block). This will follow a chronological order (1, 2, 3…).</t>
  </si>
  <si>
    <t>Enter today's date in Column B.</t>
  </si>
  <si>
    <t>LPN</t>
  </si>
  <si>
    <t>FT</t>
  </si>
  <si>
    <t>09:30AM-12:00PM</t>
  </si>
  <si>
    <r>
      <rPr>
        <b/>
        <sz val="11"/>
        <color rgb="FF000000"/>
        <rFont val="Calibri"/>
        <scheme val="minor"/>
      </rPr>
      <t>4/4</t>
    </r>
    <r>
      <rPr>
        <sz val="11"/>
        <color rgb="FF000000"/>
        <rFont val="Calibri"/>
        <scheme val="minor"/>
      </rPr>
      <t xml:space="preserve"> progress notes were started and completed during this time block</t>
    </r>
  </si>
  <si>
    <r>
      <rPr>
        <sz val="11"/>
        <color rgb="FF000000"/>
        <rFont val="Calibri"/>
        <scheme val="minor"/>
      </rPr>
      <t>Enter Nurse ID # in Column C</t>
    </r>
    <r>
      <rPr>
        <sz val="11"/>
        <color rgb="FFFF0000"/>
        <rFont val="Calibri"/>
        <scheme val="minor"/>
      </rPr>
      <t xml:space="preserve"> (see 'Schedule' or 'Nurses' tab for reference).</t>
    </r>
  </si>
  <si>
    <t xml:space="preserve">Enter Time Block in Column D. </t>
  </si>
  <si>
    <t>Neighbourhood: Foxton</t>
  </si>
  <si>
    <t xml:space="preserve">Enter Progress Note # in Column E. Use the same Progress Note # for each separate progress note. This will follow a chronological order. </t>
  </si>
  <si>
    <t>Note: The nurse must indicate every time they begin a new progress note, in addition to signalling when they are starting and stopping their charting.</t>
  </si>
  <si>
    <t>1:30PM-3:00PM</t>
  </si>
  <si>
    <r>
      <rPr>
        <b/>
        <sz val="11"/>
        <color rgb="FF000000"/>
        <rFont val="Calibri"/>
      </rPr>
      <t>8/8</t>
    </r>
    <r>
      <rPr>
        <sz val="11"/>
        <color rgb="FF000000"/>
        <rFont val="Calibri"/>
      </rPr>
      <t xml:space="preserve"> progress notes were started and completed during this time block</t>
    </r>
  </si>
  <si>
    <t xml:space="preserve">Note: If a separate progress note is started before the previous progress note has ended, enter a new Progress Note # and track the time for each one. </t>
  </si>
  <si>
    <r>
      <t xml:space="preserve">Nurse to indicate they are beginning to chart. Record Start Time In Column F. Include the hour and minute </t>
    </r>
    <r>
      <rPr>
        <sz val="11"/>
        <color rgb="FFFFC000"/>
        <rFont val="Calibri"/>
        <family val="2"/>
        <scheme val="minor"/>
      </rPr>
      <t>(do not need the second).</t>
    </r>
  </si>
  <si>
    <t xml:space="preserve">Nurse to indicate they have finished charting. Record End Time in Column G. Repeat Steps 7 and 8 until the progress note is complete. </t>
  </si>
  <si>
    <t>Note: If there was a distraction during charting, record the time when they stopped charting in the End Time column. When they begin again, write down a new Start Time in the next row</t>
  </si>
  <si>
    <t xml:space="preserve">This will be a separate charting moment. Therefore, charting for one resident (i.e., progress note) may have multiple charting moments. </t>
  </si>
  <si>
    <t xml:space="preserve">Time per Charting Moment (column G) will be automatically calculated. You do not need to do anything. </t>
  </si>
  <si>
    <t xml:space="preserve">Repeat Steps 6-9 as needed during the Time Block. Columns A-D will remain the same for the entire 4-hour shift. </t>
  </si>
  <si>
    <r>
      <t xml:space="preserve">At the end of the shift, in Column I, add all times from Column H [Formula: </t>
    </r>
    <r>
      <rPr>
        <b/>
        <sz val="11"/>
        <rFont val="Calibri"/>
        <family val="2"/>
        <scheme val="minor"/>
      </rPr>
      <t>=SUM(H#:H#)</t>
    </r>
    <r>
      <rPr>
        <sz val="11"/>
        <rFont val="Calibri"/>
        <family val="2"/>
        <scheme val="minor"/>
      </rPr>
      <t xml:space="preserve">] for each Progress Note. There may be multiple entries. Refer to example. </t>
    </r>
  </si>
  <si>
    <t xml:space="preserve">RN </t>
  </si>
  <si>
    <t>C</t>
  </si>
  <si>
    <t>10:15AM-1:15PM</t>
  </si>
  <si>
    <t>12:49 - answered phone - 1:01 resumed progress note.</t>
  </si>
  <si>
    <t xml:space="preserve">At the end of the shift, in Column J, manually add the total number of progress notes from that specific Entry #. </t>
  </si>
  <si>
    <t>(11:00 - 11:56: New Admission intake / in person</t>
  </si>
  <si>
    <t xml:space="preserve">Highlight the entire entry in one colour to group it together. Ensure you use an alternating colour pattern for each Entry #. </t>
  </si>
  <si>
    <t>11:57 - 12:15: Continued intake with family )</t>
  </si>
  <si>
    <t xml:space="preserve">Note: If you are shadowing a nurse in the last time block (11:00-3:00), continue shadowing the nurse and record all charting that extends beyond 3:00. It will be important to capture </t>
  </si>
  <si>
    <t>how much time they are going over their shift due to time spent charting.</t>
  </si>
  <si>
    <t xml:space="preserve">Progress note is long in length as it was for the new move in (encompassing the admission) </t>
  </si>
  <si>
    <t>Note: For the 7:00-11:00 time block, if it is at the end of the time block and the nurse has any unfinished progress notes, either…</t>
  </si>
  <si>
    <t>a) Continue shadowing them until they have completed all unfinished progress notes from that time block (preferred)</t>
  </si>
  <si>
    <t>b) Handoff to the next shadower and provide instructions to complete unfinished progress notes.</t>
  </si>
  <si>
    <t xml:space="preserve">Note: Any progress notes without official times (the first start time and final end time) are considered incomplete and will be void. </t>
  </si>
  <si>
    <t xml:space="preserve">Neighbourhood: Abington </t>
  </si>
  <si>
    <t>1/1 Progress note started and completed in this time block</t>
  </si>
  <si>
    <t>What if the nurse continuously follow up the same note within the same time block, would that be a different or same ID? =&gt; We can obtain the total time that note needs to be completed in a day</t>
  </si>
  <si>
    <t>1:15PM-2:30PM</t>
  </si>
  <si>
    <t>Neighbourhood: Stilton</t>
  </si>
  <si>
    <t>10/10 Progress notes were started and completed in this time block</t>
  </si>
  <si>
    <t>1:15PM-3:15PM</t>
  </si>
  <si>
    <t>#4 Received a call to go assist with resident - Progress note interrupted.</t>
  </si>
  <si>
    <t>8/8 progress notes were started and completed in this time block</t>
  </si>
  <si>
    <t>10:00AM-10:45AM</t>
  </si>
  <si>
    <t>Nurse had to leave to tend to residents, then had CC</t>
  </si>
  <si>
    <t>1/1 Progress note started and completed</t>
  </si>
  <si>
    <t>11:15AM-12:00PM</t>
  </si>
  <si>
    <t>Neighbourhood: Willingham</t>
  </si>
  <si>
    <t>Nurse advised to arrive to shadow for 11:30am</t>
  </si>
  <si>
    <t>6/6 progress notes started and completed</t>
  </si>
  <si>
    <t>Nurse advised she was done and had to go complete other tasks.</t>
  </si>
  <si>
    <t>1:30PM-2:15PM</t>
  </si>
  <si>
    <t>Neighbourhood: Foxton 
2/2 progress notes started and completed.</t>
  </si>
  <si>
    <t>Nurse had to leave with Doctor for resident visits.</t>
  </si>
  <si>
    <t>Neighbourhood: Foxton 
Nurse advised to arrive for 1:30pm</t>
  </si>
  <si>
    <t>8/8 progress notes were started and completed during this time block</t>
  </si>
  <si>
    <t xml:space="preserve">FT  </t>
  </si>
  <si>
    <t>10:15AM- 11:45AM</t>
  </si>
  <si>
    <t xml:space="preserve">Neighborhood: Abington </t>
  </si>
  <si>
    <r>
      <t xml:space="preserve">Interruptions </t>
    </r>
    <r>
      <rPr>
        <b/>
        <sz val="11"/>
        <color rgb="FF000000"/>
        <rFont val="Calibri"/>
        <family val="2"/>
        <scheme val="minor"/>
      </rPr>
      <t>@ Note 53</t>
    </r>
    <r>
      <rPr>
        <sz val="11"/>
        <color rgb="FF000000"/>
        <rFont val="Calibri"/>
        <scheme val="minor"/>
      </rPr>
      <t xml:space="preserve">: Nurse communicates with Doctor 
</t>
    </r>
    <r>
      <rPr>
        <b/>
        <sz val="11"/>
        <color rgb="FF000000"/>
        <rFont val="Calibri"/>
        <scheme val="minor"/>
      </rPr>
      <t>6/6</t>
    </r>
    <r>
      <rPr>
        <sz val="11"/>
        <color rgb="FF000000"/>
        <rFont val="Calibri"/>
        <scheme val="minor"/>
      </rPr>
      <t xml:space="preserve"> progress notes were started and completed during this time block</t>
    </r>
  </si>
  <si>
    <t>2:00PM-3:15PM</t>
  </si>
  <si>
    <r>
      <t xml:space="preserve">Interruptions </t>
    </r>
    <r>
      <rPr>
        <b/>
        <sz val="11"/>
        <rFont val="Calibri"/>
        <family val="2"/>
        <scheme val="minor"/>
      </rPr>
      <t>@ Note 56</t>
    </r>
    <r>
      <rPr>
        <sz val="11"/>
        <rFont val="Calibri"/>
        <family val="2"/>
        <scheme val="minor"/>
      </rPr>
      <t>: Nurse answered resident's questions</t>
    </r>
  </si>
  <si>
    <r>
      <t xml:space="preserve">Interruptions </t>
    </r>
    <r>
      <rPr>
        <b/>
        <sz val="11"/>
        <rFont val="Calibri"/>
        <family val="2"/>
        <scheme val="minor"/>
      </rPr>
      <t>@ Note 60:</t>
    </r>
    <r>
      <rPr>
        <sz val="11"/>
        <rFont val="Calibri"/>
        <family val="2"/>
        <scheme val="minor"/>
      </rPr>
      <t xml:space="preserve"> Nurse received phone calls
Interruptions</t>
    </r>
    <r>
      <rPr>
        <b/>
        <sz val="11"/>
        <rFont val="Calibri"/>
        <family val="2"/>
        <scheme val="minor"/>
      </rPr>
      <t xml:space="preserve"> @ Note 61</t>
    </r>
    <r>
      <rPr>
        <sz val="11"/>
        <rFont val="Calibri"/>
        <family val="2"/>
        <scheme val="minor"/>
      </rPr>
      <t>: Nurse left to check on residents</t>
    </r>
  </si>
  <si>
    <r>
      <rPr>
        <b/>
        <sz val="11"/>
        <color rgb="FF000000"/>
        <rFont val="Calibri"/>
        <scheme val="minor"/>
      </rPr>
      <t xml:space="preserve">7/7 </t>
    </r>
    <r>
      <rPr>
        <sz val="11"/>
        <color rgb="FF000000"/>
        <rFont val="Calibri"/>
        <scheme val="minor"/>
      </rPr>
      <t>progress notes were started and completed during this time block</t>
    </r>
  </si>
  <si>
    <r>
      <rPr>
        <sz val="11"/>
        <color rgb="FF000000"/>
        <rFont val="Calibri"/>
        <scheme val="minor"/>
      </rPr>
      <t xml:space="preserve">
Neighborhood: Abington
Nurse interrupted by phone calls and resident's family inquiries </t>
    </r>
    <r>
      <rPr>
        <b/>
        <sz val="11"/>
        <color rgb="FF000000"/>
        <rFont val="Calibri"/>
        <scheme val="minor"/>
      </rPr>
      <t xml:space="preserve">@Note 62 </t>
    </r>
    <r>
      <rPr>
        <sz val="11"/>
        <color rgb="FF000000"/>
        <rFont val="Calibri"/>
        <scheme val="minor"/>
      </rPr>
      <t xml:space="preserve">1st time
Nurse interrupted by other healthcare providers informing patient's status </t>
    </r>
    <r>
      <rPr>
        <b/>
        <sz val="11"/>
        <color rgb="FF000000"/>
        <rFont val="Calibri"/>
        <scheme val="minor"/>
      </rPr>
      <t xml:space="preserve">@ Note 62 </t>
    </r>
    <r>
      <rPr>
        <sz val="11"/>
        <color rgb="FF000000"/>
        <rFont val="Calibri"/>
        <scheme val="minor"/>
      </rPr>
      <t>2nd time</t>
    </r>
  </si>
  <si>
    <r>
      <rPr>
        <sz val="11"/>
        <color rgb="FF000000"/>
        <rFont val="Calibri"/>
        <scheme val="minor"/>
      </rPr>
      <t xml:space="preserve">Nurse interrupted by family/ healthcare providers inquiries </t>
    </r>
    <r>
      <rPr>
        <b/>
        <sz val="11"/>
        <color rgb="FF000000"/>
        <rFont val="Calibri"/>
        <scheme val="minor"/>
      </rPr>
      <t xml:space="preserve">@Note 63 </t>
    </r>
    <r>
      <rPr>
        <sz val="11"/>
        <color rgb="FF000000"/>
        <rFont val="Calibri"/>
        <scheme val="minor"/>
      </rPr>
      <t xml:space="preserve">1st time
Nurse has to checked on patient </t>
    </r>
    <r>
      <rPr>
        <b/>
        <sz val="11"/>
        <color rgb="FF000000"/>
        <rFont val="Calibri"/>
        <scheme val="minor"/>
      </rPr>
      <t xml:space="preserve">@Note 63 </t>
    </r>
    <r>
      <rPr>
        <sz val="11"/>
        <color rgb="FF000000"/>
        <rFont val="Calibri"/>
        <scheme val="minor"/>
      </rPr>
      <t>2nd time</t>
    </r>
  </si>
  <si>
    <r>
      <rPr>
        <sz val="11"/>
        <color rgb="FF000000"/>
        <rFont val="Calibri"/>
        <scheme val="minor"/>
      </rPr>
      <t xml:space="preserve">Nurse interrupted by other Nurses inquiry </t>
    </r>
    <r>
      <rPr>
        <b/>
        <sz val="11"/>
        <color rgb="FF000000"/>
        <rFont val="Calibri"/>
        <scheme val="minor"/>
      </rPr>
      <t>@ Note 64</t>
    </r>
  </si>
  <si>
    <r>
      <rPr>
        <b/>
        <sz val="11"/>
        <color rgb="FF000000"/>
        <rFont val="Calibri"/>
        <scheme val="minor"/>
      </rPr>
      <t xml:space="preserve">3/3 </t>
    </r>
    <r>
      <rPr>
        <sz val="11"/>
        <color rgb="FF000000"/>
        <rFont val="Calibri"/>
        <scheme val="minor"/>
      </rPr>
      <t>progress notes started and completed</t>
    </r>
  </si>
  <si>
    <t>Neighborhood: Foxton</t>
  </si>
  <si>
    <r>
      <rPr>
        <b/>
        <sz val="11"/>
        <rFont val="Calibri"/>
        <family val="2"/>
        <scheme val="minor"/>
      </rPr>
      <t>3/3</t>
    </r>
    <r>
      <rPr>
        <sz val="11"/>
        <rFont val="Calibri"/>
        <family val="2"/>
        <scheme val="minor"/>
      </rPr>
      <t xml:space="preserve"> progress notes started and completed </t>
    </r>
  </si>
  <si>
    <t>Neighborhood: Stilton</t>
  </si>
  <si>
    <t>Notes were charted from previous day data</t>
  </si>
  <si>
    <r>
      <t xml:space="preserve">8/8 </t>
    </r>
    <r>
      <rPr>
        <sz val="11"/>
        <rFont val="Calibri"/>
        <family val="2"/>
        <scheme val="minor"/>
      </rPr>
      <t xml:space="preserve">progress notes started and completed </t>
    </r>
  </si>
  <si>
    <t>Ongoing -&gt; Chart her part first then finally HCA</t>
  </si>
  <si>
    <t>Call up pharmacy + family to make decision then chart</t>
  </si>
  <si>
    <t>HCA answer yes or no only</t>
  </si>
  <si>
    <t>2:15PM-3:15PM</t>
  </si>
  <si>
    <t xml:space="preserve"> </t>
  </si>
  <si>
    <t xml:space="preserve">Nurses informed there would be more progress notes but </t>
  </si>
  <si>
    <t>didn't know when since has to wait for Doctor 's info</t>
  </si>
  <si>
    <r>
      <rPr>
        <b/>
        <sz val="11"/>
        <color rgb="FF000000"/>
        <rFont val="Calibri"/>
        <scheme val="minor"/>
      </rPr>
      <t xml:space="preserve">5/5 </t>
    </r>
    <r>
      <rPr>
        <sz val="11"/>
        <color rgb="FF000000"/>
        <rFont val="Calibri"/>
        <scheme val="minor"/>
      </rPr>
      <t>progress notes started and completed</t>
    </r>
  </si>
  <si>
    <t>10:15AM-11:30AM</t>
  </si>
  <si>
    <t xml:space="preserve">Neighborhood: Stilton
</t>
  </si>
  <si>
    <r>
      <rPr>
        <sz val="11"/>
        <color rgb="FF000000"/>
        <rFont val="Calibri"/>
        <scheme val="minor"/>
      </rPr>
      <t xml:space="preserve">Nurse interrupted by HCA </t>
    </r>
    <r>
      <rPr>
        <b/>
        <sz val="11"/>
        <color rgb="FF000000"/>
        <rFont val="Calibri"/>
        <scheme val="minor"/>
      </rPr>
      <t xml:space="preserve">@ Note 84 </t>
    </r>
    <r>
      <rPr>
        <sz val="11"/>
        <color rgb="FF000000"/>
        <rFont val="Calibri"/>
        <scheme val="minor"/>
      </rPr>
      <t xml:space="preserve">for 10-15 seconds
Nurse resumed right after
</t>
    </r>
  </si>
  <si>
    <r>
      <t xml:space="preserve">
Nurse interrupted</t>
    </r>
    <r>
      <rPr>
        <b/>
        <sz val="11"/>
        <rFont val="Calibri"/>
        <family val="2"/>
        <scheme val="minor"/>
      </rPr>
      <t xml:space="preserve"> @ Note 87</t>
    </r>
    <r>
      <rPr>
        <sz val="11"/>
        <rFont val="Calibri"/>
        <family val="2"/>
        <scheme val="minor"/>
      </rPr>
      <t>, inquired by other staffs about a patient's conditions
Resumed at 11:22</t>
    </r>
  </si>
  <si>
    <r>
      <rPr>
        <b/>
        <sz val="11"/>
        <rFont val="Calibri"/>
        <family val="2"/>
        <scheme val="minor"/>
      </rPr>
      <t xml:space="preserve">7/7 </t>
    </r>
    <r>
      <rPr>
        <sz val="11"/>
        <rFont val="Calibri"/>
        <family val="2"/>
        <scheme val="minor"/>
      </rPr>
      <t>progress notes were started and completed</t>
    </r>
  </si>
  <si>
    <t>1:15PM-2:00PM</t>
  </si>
  <si>
    <t>Technical Difficulty: Nurse's screen kept flickering on and off</t>
  </si>
  <si>
    <r>
      <rPr>
        <b/>
        <sz val="11"/>
        <rFont val="Calibri"/>
        <family val="2"/>
        <scheme val="minor"/>
      </rPr>
      <t>3/3</t>
    </r>
    <r>
      <rPr>
        <sz val="11"/>
        <rFont val="Calibri"/>
        <family val="2"/>
        <scheme val="minor"/>
      </rPr>
      <t xml:space="preserve"> progress notes started and completed</t>
    </r>
  </si>
  <si>
    <t>2:25PM-3:15PM</t>
  </si>
  <si>
    <t xml:space="preserve">Neighborhood: Abbington
</t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</si>
  <si>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 Note 92, </t>
    </r>
    <r>
      <rPr>
        <sz val="11"/>
        <color rgb="FF000000"/>
        <rFont val="Calibri"/>
        <scheme val="minor"/>
      </rPr>
      <t xml:space="preserve">handing out documents </t>
    </r>
  </si>
  <si>
    <r>
      <rPr>
        <b/>
        <sz val="11"/>
        <color rgb="FF000000"/>
        <rFont val="Calibri"/>
        <scheme val="minor"/>
      </rPr>
      <t xml:space="preserve">7/7 </t>
    </r>
    <r>
      <rPr>
        <sz val="11"/>
        <color rgb="FF000000"/>
        <rFont val="Calibri"/>
        <scheme val="minor"/>
      </rPr>
      <t>notes started and completed</t>
    </r>
  </si>
  <si>
    <t>10:15AM-11:45PM</t>
  </si>
  <si>
    <r>
      <rPr>
        <sz val="11"/>
        <color rgb="FF000000"/>
        <rFont val="Calibri"/>
        <scheme val="minor"/>
      </rPr>
      <t xml:space="preserve">Neighborhood: Stilton
Nurse only documented 1 patient note, signal intern
to return at 2 PM for more
</t>
    </r>
    <r>
      <rPr>
        <b/>
        <sz val="11"/>
        <color rgb="FF000000"/>
        <rFont val="Calibri"/>
        <scheme val="minor"/>
      </rPr>
      <t xml:space="preserve">1/1 </t>
    </r>
    <r>
      <rPr>
        <sz val="11"/>
        <color rgb="FF000000"/>
        <rFont val="Calibri"/>
        <scheme val="minor"/>
      </rPr>
      <t>progress note started and completed</t>
    </r>
  </si>
  <si>
    <t>Neighborhood: Stilton
Intern return at 2PM to record end of shift notes</t>
  </si>
  <si>
    <r>
      <rPr>
        <sz val="11"/>
        <color rgb="FF000000"/>
        <rFont val="Calibri"/>
        <scheme val="minor"/>
      </rPr>
      <t xml:space="preserve">Nurse interuptted at </t>
    </r>
    <r>
      <rPr>
        <b/>
        <sz val="11"/>
        <color rgb="FF000000"/>
        <rFont val="Calibri"/>
        <scheme val="minor"/>
      </rPr>
      <t xml:space="preserve">Note @109 </t>
    </r>
    <r>
      <rPr>
        <sz val="11"/>
        <color rgb="FF000000"/>
        <rFont val="Calibri"/>
        <scheme val="minor"/>
      </rPr>
      <t>talking to other nurses</t>
    </r>
  </si>
  <si>
    <r>
      <rPr>
        <sz val="11"/>
        <color rgb="FF000000"/>
        <rFont val="Calibri"/>
        <scheme val="minor"/>
      </rPr>
      <t xml:space="preserve">Nurse stayed overtime past </t>
    </r>
    <r>
      <rPr>
        <b/>
        <sz val="11"/>
        <color rgb="FF000000"/>
        <rFont val="Calibri"/>
        <scheme val="minor"/>
      </rPr>
      <t xml:space="preserve">3:15 PM </t>
    </r>
    <r>
      <rPr>
        <sz val="11"/>
        <color rgb="FF000000"/>
        <rFont val="Calibri"/>
        <scheme val="minor"/>
      </rPr>
      <t>for Charting</t>
    </r>
  </si>
  <si>
    <r>
      <rPr>
        <sz val="11"/>
        <color rgb="FF000000"/>
        <rFont val="Calibri"/>
        <scheme val="minor"/>
      </rPr>
      <t xml:space="preserve">Notes for </t>
    </r>
    <r>
      <rPr>
        <b/>
        <sz val="11"/>
        <color rgb="FF000000"/>
        <rFont val="Calibri"/>
        <scheme val="minor"/>
      </rPr>
      <t xml:space="preserve">4/24/2026: </t>
    </r>
    <r>
      <rPr>
        <sz val="11"/>
        <color rgb="FF000000"/>
        <rFont val="Calibri"/>
        <scheme val="minor"/>
      </rPr>
      <t xml:space="preserve">A lot of nurses have to attend 
meeting and education training =&gt; Busy tending to patients right after
so progress notes were difficult to obtained during
</t>
    </r>
    <r>
      <rPr>
        <b/>
        <sz val="11"/>
        <color rgb="FF000000"/>
        <rFont val="Calibri"/>
        <scheme val="minor"/>
      </rPr>
      <t xml:space="preserve">10:00 AM - 3:15 PM </t>
    </r>
    <r>
      <rPr>
        <sz val="11"/>
        <color rgb="FF000000"/>
        <rFont val="Calibri"/>
        <scheme val="minor"/>
      </rPr>
      <t>Time block</t>
    </r>
  </si>
  <si>
    <r>
      <rPr>
        <b/>
        <sz val="11"/>
        <color rgb="FF000000"/>
        <rFont val="Calibri"/>
        <scheme val="minor"/>
      </rPr>
      <t xml:space="preserve">11/11 </t>
    </r>
    <r>
      <rPr>
        <sz val="11"/>
        <color rgb="FF000000"/>
        <rFont val="Calibri"/>
        <scheme val="minor"/>
      </rPr>
      <t>notes started and completed</t>
    </r>
  </si>
  <si>
    <t>10:15AM-12:15PM</t>
  </si>
  <si>
    <r>
      <rPr>
        <sz val="11"/>
        <color rgb="FF000000"/>
        <rFont val="Calibri"/>
        <scheme val="minor"/>
      </rPr>
      <t xml:space="preserve">Nurse signal intern to return at </t>
    </r>
    <r>
      <rPr>
        <b/>
        <sz val="11"/>
        <color rgb="FF000000"/>
        <rFont val="Calibri"/>
        <scheme val="minor"/>
      </rPr>
      <t xml:space="preserve">2 PM </t>
    </r>
    <r>
      <rPr>
        <sz val="11"/>
        <color rgb="FF000000"/>
        <rFont val="Calibri"/>
        <scheme val="minor"/>
      </rPr>
      <t xml:space="preserve">for more charting
Nurse chartted at outside station
</t>
    </r>
    <r>
      <rPr>
        <b/>
        <sz val="11"/>
        <color rgb="FF000000"/>
        <rFont val="Calibri"/>
        <scheme val="minor"/>
      </rPr>
      <t>1/1 note started and completed</t>
    </r>
  </si>
  <si>
    <t xml:space="preserve">RN     </t>
  </si>
  <si>
    <t xml:space="preserve">PT </t>
  </si>
  <si>
    <t>1:25PM-2:30PM</t>
  </si>
  <si>
    <r>
      <rPr>
        <sz val="11"/>
        <color rgb="FF000000"/>
        <rFont val="Calibri"/>
        <scheme val="minor"/>
      </rPr>
      <t xml:space="preserve">Nurse interuptted at </t>
    </r>
    <r>
      <rPr>
        <b/>
        <sz val="11"/>
        <color rgb="FF000000"/>
        <rFont val="Calibri"/>
        <scheme val="minor"/>
      </rPr>
      <t>Note @112</t>
    </r>
    <r>
      <rPr>
        <sz val="11"/>
        <color rgb="FF000000"/>
        <rFont val="Calibri"/>
        <scheme val="minor"/>
      </rPr>
      <t xml:space="preserve"> by residents inquriries twice</t>
    </r>
  </si>
  <si>
    <r>
      <rPr>
        <sz val="11"/>
        <color rgb="FF000000"/>
        <rFont val="Calibri"/>
        <scheme val="minor"/>
      </rPr>
      <t xml:space="preserve">Nurse interuppted at </t>
    </r>
    <r>
      <rPr>
        <b/>
        <sz val="11"/>
        <color rgb="FF000000"/>
        <rFont val="Calibri"/>
        <scheme val="minor"/>
      </rPr>
      <t>Note @112</t>
    </r>
    <r>
      <rPr>
        <sz val="11"/>
        <color rgb="FF000000"/>
        <rFont val="Calibri"/>
        <scheme val="minor"/>
      </rPr>
      <t xml:space="preserve"> again at </t>
    </r>
    <r>
      <rPr>
        <b/>
        <sz val="11"/>
        <color rgb="FF000000"/>
        <rFont val="Calibri"/>
        <scheme val="minor"/>
      </rPr>
      <t xml:space="preserve">1:33PM </t>
    </r>
    <r>
      <rPr>
        <sz val="11"/>
        <color rgb="FF000000"/>
        <rFont val="Calibri"/>
        <scheme val="minor"/>
      </rPr>
      <t>by HCA inquiries</t>
    </r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</si>
  <si>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>@Note 114</t>
    </r>
    <r>
      <rPr>
        <sz val="11"/>
        <color rgb="FF000000"/>
        <rFont val="Calibri"/>
        <scheme val="minor"/>
      </rPr>
      <t xml:space="preserve"> by residents' inquiry</t>
    </r>
  </si>
  <si>
    <r>
      <rPr>
        <sz val="11"/>
        <color rgb="FF000000"/>
        <rFont val="Calibri"/>
        <scheme val="minor"/>
      </rPr>
      <t xml:space="preserve">Nurse interuppted </t>
    </r>
    <r>
      <rPr>
        <b/>
        <sz val="11"/>
        <color rgb="FF000000"/>
        <rFont val="Calibri"/>
        <scheme val="minor"/>
      </rPr>
      <t>@Note 116</t>
    </r>
    <r>
      <rPr>
        <sz val="11"/>
        <color rgb="FF000000"/>
        <rFont val="Calibri"/>
        <scheme val="minor"/>
      </rPr>
      <t>, helping residents to sit down</t>
    </r>
  </si>
  <si>
    <r>
      <rPr>
        <sz val="11"/>
        <color rgb="FF000000"/>
        <rFont val="Calibri"/>
        <scheme val="minor"/>
      </rPr>
      <t xml:space="preserve">Nurse save </t>
    </r>
    <r>
      <rPr>
        <b/>
        <sz val="11"/>
        <color rgb="FF000000"/>
        <rFont val="Calibri"/>
        <scheme val="minor"/>
      </rPr>
      <t xml:space="preserve">Note 116 </t>
    </r>
    <r>
      <rPr>
        <sz val="11"/>
        <color rgb="FF000000"/>
        <rFont val="Calibri"/>
        <scheme val="minor"/>
      </rPr>
      <t xml:space="preserve">as draft, unfinalized 
Nurse want to see when residents settle down before 
completing notes =&gt; Return </t>
    </r>
    <r>
      <rPr>
        <b/>
        <sz val="11"/>
        <color rgb="FF000000"/>
        <rFont val="Calibri"/>
        <scheme val="minor"/>
      </rPr>
      <t>at 2:10</t>
    </r>
  </si>
  <si>
    <r>
      <rPr>
        <sz val="11"/>
        <color rgb="FF000000"/>
        <rFont val="Calibri"/>
        <scheme val="minor"/>
      </rPr>
      <t xml:space="preserve">Nurse inquired about patient's conditions with HCA </t>
    </r>
    <r>
      <rPr>
        <b/>
        <sz val="11"/>
        <color rgb="FF000000"/>
        <rFont val="Calibri"/>
        <scheme val="minor"/>
      </rPr>
      <t>@
Note 117</t>
    </r>
  </si>
  <si>
    <r>
      <rPr>
        <sz val="11"/>
        <color rgb="FF000000"/>
        <rFont val="Calibri"/>
        <scheme val="minor"/>
      </rPr>
      <t xml:space="preserve">Nurse save </t>
    </r>
    <r>
      <rPr>
        <b/>
        <sz val="11"/>
        <color rgb="FF000000"/>
        <rFont val="Calibri"/>
        <scheme val="minor"/>
      </rPr>
      <t>Note @ 122</t>
    </r>
    <r>
      <rPr>
        <sz val="11"/>
        <color rgb="FF000000"/>
        <rFont val="Calibri"/>
        <scheme val="minor"/>
      </rPr>
      <t xml:space="preserve"> as draft, needed to contact
resident's family before returning </t>
    </r>
    <r>
      <rPr>
        <b/>
        <sz val="11"/>
        <color rgb="FF000000"/>
        <rFont val="Calibri"/>
        <scheme val="minor"/>
      </rPr>
      <t>at 2:21</t>
    </r>
  </si>
  <si>
    <r>
      <rPr>
        <b/>
        <sz val="11"/>
        <color rgb="FFFF0000"/>
        <rFont val="Calibri"/>
        <scheme val="minor"/>
      </rPr>
      <t>Note:</t>
    </r>
    <r>
      <rPr>
        <sz val="11"/>
        <color rgb="FFFF0000"/>
        <rFont val="Calibri"/>
        <scheme val="minor"/>
      </rPr>
      <t xml:space="preserve"> A lot of behavior charting today</t>
    </r>
  </si>
  <si>
    <r>
      <rPr>
        <b/>
        <sz val="11"/>
        <color rgb="FF000000"/>
        <rFont val="Calibri"/>
        <scheme val="minor"/>
      </rPr>
      <t>14/14</t>
    </r>
    <r>
      <rPr>
        <sz val="11"/>
        <color rgb="FF000000"/>
        <rFont val="Calibri"/>
        <scheme val="minor"/>
      </rPr>
      <t xml:space="preserve"> progress notes started and completed</t>
    </r>
  </si>
  <si>
    <t xml:space="preserve">Nurse interuppted @Note 127: HCA asked 
Nurse to check on patient  
</t>
  </si>
  <si>
    <r>
      <rPr>
        <b/>
        <sz val="11"/>
        <color rgb="FF000000"/>
        <rFont val="Calibri"/>
        <scheme val="minor"/>
      </rPr>
      <t xml:space="preserve">6/6 </t>
    </r>
    <r>
      <rPr>
        <sz val="11"/>
        <color rgb="FF000000"/>
        <rFont val="Calibri"/>
        <scheme val="minor"/>
      </rPr>
      <t>notes started and completed</t>
    </r>
  </si>
  <si>
    <t>Neighborhood: Abbington
Intern return to collect end of shift notes</t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</si>
  <si>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 Note 131: </t>
    </r>
    <r>
      <rPr>
        <sz val="11"/>
        <color rgb="FF000000"/>
        <rFont val="Calibri"/>
        <scheme val="minor"/>
      </rPr>
      <t xml:space="preserve">Answering HCA
questions
Nurse interuptted </t>
    </r>
    <r>
      <rPr>
        <b/>
        <sz val="11"/>
        <color rgb="FF000000"/>
        <rFont val="Calibri"/>
        <scheme val="minor"/>
      </rPr>
      <t>@Note 131</t>
    </r>
    <r>
      <rPr>
        <sz val="11"/>
        <color rgb="FF000000"/>
        <rFont val="Calibri"/>
        <scheme val="minor"/>
      </rPr>
      <t xml:space="preserve"> 2nd time: Other nurses
asking questions</t>
    </r>
  </si>
  <si>
    <t>Nurse interuptted 3rd time: Phone calls</t>
  </si>
  <si>
    <r>
      <rPr>
        <b/>
        <sz val="11"/>
        <color rgb="FF000000"/>
        <rFont val="Calibri"/>
        <scheme val="minor"/>
      </rPr>
      <t xml:space="preserve">1/1 </t>
    </r>
    <r>
      <rPr>
        <sz val="11"/>
        <color rgb="FF000000"/>
        <rFont val="Calibri"/>
        <scheme val="minor"/>
      </rPr>
      <t>notes started and completed</t>
    </r>
  </si>
  <si>
    <t>10:30AM-11:15PM</t>
  </si>
  <si>
    <t>Neighborhood: Abbington</t>
  </si>
  <si>
    <r>
      <rPr>
        <sz val="11"/>
        <color rgb="FF000000"/>
        <rFont val="Calibri"/>
        <scheme val="minor"/>
      </rPr>
      <t xml:space="preserve">Nurses interuptted </t>
    </r>
    <r>
      <rPr>
        <b/>
        <sz val="11"/>
        <color rgb="FF000000"/>
        <rFont val="Calibri"/>
        <scheme val="minor"/>
      </rPr>
      <t>@ Note 132</t>
    </r>
    <r>
      <rPr>
        <sz val="11"/>
        <color rgb="FF000000"/>
        <rFont val="Calibri"/>
        <scheme val="minor"/>
      </rPr>
      <t xml:space="preserve"> by resident's inquiry </t>
    </r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</si>
  <si>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 Note 132 </t>
    </r>
    <r>
      <rPr>
        <sz val="11"/>
        <color rgb="FF000000"/>
        <rFont val="Calibri"/>
        <scheme val="minor"/>
      </rPr>
      <t>2nd time due to HCA's inquiry</t>
    </r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</si>
  <si>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 Note 132 </t>
    </r>
    <r>
      <rPr>
        <sz val="11"/>
        <color rgb="FF000000"/>
        <rFont val="Calibri"/>
        <scheme val="minor"/>
      </rPr>
      <t>3rd time due to HCA report</t>
    </r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</si>
  <si>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 Note 133 </t>
    </r>
    <r>
      <rPr>
        <sz val="11"/>
        <color rgb="FF000000"/>
        <rFont val="Calibri"/>
        <scheme val="minor"/>
      </rPr>
      <t>due to HCA's Inquiry</t>
    </r>
  </si>
  <si>
    <r>
      <rPr>
        <sz val="11"/>
        <color rgb="FF000000"/>
        <rFont val="Calibri"/>
        <scheme val="minor"/>
      </rPr>
      <t xml:space="preserve">Nurse returned to </t>
    </r>
    <r>
      <rPr>
        <b/>
        <sz val="11"/>
        <color rgb="FF000000"/>
        <rFont val="Calibri"/>
        <scheme val="minor"/>
      </rPr>
      <t xml:space="preserve">Note 133 </t>
    </r>
    <r>
      <rPr>
        <sz val="11"/>
        <color rgb="FF000000"/>
        <rFont val="Calibri"/>
        <scheme val="minor"/>
      </rPr>
      <t xml:space="preserve">after completing </t>
    </r>
    <r>
      <rPr>
        <b/>
        <sz val="11"/>
        <color rgb="FF000000"/>
        <rFont val="Calibri"/>
        <scheme val="minor"/>
      </rPr>
      <t>Note 134</t>
    </r>
  </si>
  <si>
    <r>
      <rPr>
        <sz val="11"/>
        <color rgb="FF000000"/>
        <rFont val="Calibri"/>
        <scheme val="minor"/>
      </rPr>
      <t xml:space="preserve">at </t>
    </r>
    <r>
      <rPr>
        <b/>
        <sz val="11"/>
        <color rgb="FF000000"/>
        <rFont val="Calibri"/>
        <scheme val="minor"/>
      </rPr>
      <t>10:48</t>
    </r>
  </si>
  <si>
    <r>
      <rPr>
        <b/>
        <sz val="11"/>
        <color rgb="FF000000"/>
        <rFont val="Calibri"/>
        <scheme val="minor"/>
      </rPr>
      <t xml:space="preserve">4/4 </t>
    </r>
    <r>
      <rPr>
        <sz val="11"/>
        <color rgb="FF000000"/>
        <rFont val="Calibri"/>
        <scheme val="minor"/>
      </rPr>
      <t>notes started and completed</t>
    </r>
  </si>
  <si>
    <t>Neighborhood: Willingham</t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</si>
  <si>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@Note 137 </t>
    </r>
    <r>
      <rPr>
        <sz val="11"/>
        <color rgb="FF000000"/>
        <rFont val="Calibri"/>
        <scheme val="minor"/>
      </rPr>
      <t>by phone call</t>
    </r>
  </si>
  <si>
    <r>
      <rPr>
        <sz val="11"/>
        <color rgb="FF000000"/>
        <rFont val="Calibri"/>
        <scheme val="minor"/>
      </rPr>
      <t>N</t>
    </r>
    <r>
      <rPr>
        <b/>
        <sz val="11"/>
        <color rgb="FF000000"/>
        <rFont val="Calibri"/>
        <scheme val="minor"/>
      </rPr>
      <t xml:space="preserve">urse </t>
    </r>
    <r>
      <rPr>
        <sz val="11"/>
        <color rgb="FF000000"/>
        <rFont val="Calibri"/>
        <scheme val="minor"/>
      </rPr>
      <t xml:space="preserve">interuptted </t>
    </r>
    <r>
      <rPr>
        <b/>
        <sz val="11"/>
        <color rgb="FF000000"/>
        <rFont val="Calibri"/>
        <scheme val="minor"/>
      </rPr>
      <t xml:space="preserve">@ Note 145 </t>
    </r>
    <r>
      <rPr>
        <sz val="11"/>
        <color rgb="FF000000"/>
        <rFont val="Calibri"/>
        <scheme val="minor"/>
      </rPr>
      <t xml:space="preserve">to give report </t>
    </r>
  </si>
  <si>
    <r>
      <rPr>
        <b/>
        <sz val="11"/>
        <color rgb="FF000000"/>
        <rFont val="Calibri"/>
        <scheme val="minor"/>
      </rPr>
      <t xml:space="preserve">12/12 </t>
    </r>
    <r>
      <rPr>
        <sz val="11"/>
        <color rgb="FF000000"/>
        <rFont val="Calibri"/>
        <scheme val="minor"/>
      </rPr>
      <t>notes started and completed</t>
    </r>
  </si>
  <si>
    <t>1:30PM-3:15PM</t>
  </si>
  <si>
    <r>
      <rPr>
        <sz val="11"/>
        <color rgb="FF000000"/>
        <rFont val="Calibri"/>
        <scheme val="minor"/>
      </rPr>
      <t xml:space="preserve">Nurse only needed to chart 1 notes
</t>
    </r>
    <r>
      <rPr>
        <b/>
        <sz val="11"/>
        <color rgb="FF000000"/>
        <rFont val="Calibri"/>
        <scheme val="minor"/>
      </rPr>
      <t xml:space="preserve">1/1 </t>
    </r>
    <r>
      <rPr>
        <sz val="11"/>
        <color rgb="FF000000"/>
        <rFont val="Calibri"/>
        <scheme val="minor"/>
      </rPr>
      <t>notes started and completed</t>
    </r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</si>
  <si>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@Note 150 </t>
    </r>
    <r>
      <rPr>
        <sz val="11"/>
        <color rgb="FF000000"/>
        <rFont val="Calibri"/>
        <scheme val="minor"/>
      </rPr>
      <t>by HCA Inquiry</t>
    </r>
  </si>
  <si>
    <r>
      <rPr>
        <b/>
        <sz val="11"/>
        <color rgb="FF000000"/>
        <rFont val="Calibri"/>
        <scheme val="minor"/>
      </rPr>
      <t xml:space="preserve">3/3 </t>
    </r>
    <r>
      <rPr>
        <sz val="11"/>
        <color rgb="FF000000"/>
        <rFont val="Calibri"/>
        <scheme val="minor"/>
      </rPr>
      <t>notes started and completed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</si>
</sst>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"/>
    <numFmt numFmtId="165" formatCode="[$-409]h:mm\ AM/PM;@"/>
    <numFmt numFmtId="166" formatCode="[$-409]d\-mm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C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3" fillId="3" borderId="5" xfId="0" applyFont="1" applyFill="1" applyBorder="1"/>
    <xf numFmtId="0" fontId="0" fillId="3" borderId="5" xfId="0" applyFill="1" applyBorder="1"/>
    <xf numFmtId="0" fontId="0" fillId="3" borderId="3" xfId="0" applyFill="1" applyBorder="1"/>
    <xf numFmtId="0" fontId="3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8" xfId="0" applyFont="1" applyFill="1" applyBorder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3" fillId="0" borderId="0" xfId="0" applyNumberFormat="1" applyFont="1" applyAlignment="1">
      <alignment horizontal="center"/>
    </xf>
    <xf numFmtId="0" fontId="3" fillId="3" borderId="5" xfId="0" applyFont="1" applyFill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20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20" fontId="9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20" fontId="9" fillId="2" borderId="7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20" fontId="0" fillId="4" borderId="0" xfId="0" applyNumberFormat="1" applyFill="1" applyAlignment="1">
      <alignment horizontal="center"/>
    </xf>
    <xf numFmtId="20" fontId="3" fillId="4" borderId="0" xfId="0" applyNumberFormat="1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20" fontId="0" fillId="4" borderId="11" xfId="0" applyNumberFormat="1" applyFill="1" applyBorder="1" applyAlignment="1">
      <alignment horizontal="center"/>
    </xf>
    <xf numFmtId="20" fontId="3" fillId="4" borderId="11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4" xfId="0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2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0" fontId="3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164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20" fontId="0" fillId="5" borderId="11" xfId="0" applyNumberFormat="1" applyFill="1" applyBorder="1" applyAlignment="1">
      <alignment horizontal="center"/>
    </xf>
    <xf numFmtId="20" fontId="3" fillId="5" borderId="11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wrapText="1"/>
    </xf>
    <xf numFmtId="0" fontId="13" fillId="5" borderId="5" xfId="0" applyFont="1" applyFill="1" applyBorder="1" applyAlignment="1">
      <alignment horizontal="center" wrapText="1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20" fontId="0" fillId="3" borderId="0" xfId="0" applyNumberFormat="1" applyFill="1" applyAlignment="1">
      <alignment horizontal="center"/>
    </xf>
    <xf numFmtId="20" fontId="3" fillId="3" borderId="0" xfId="0" applyNumberFormat="1" applyFont="1" applyFill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20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20" fontId="3" fillId="3" borderId="11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20" fontId="2" fillId="3" borderId="0" xfId="0" applyNumberFormat="1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20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0" fontId="3" fillId="6" borderId="0" xfId="0" applyNumberFormat="1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20" fontId="0" fillId="6" borderId="11" xfId="0" applyNumberFormat="1" applyFill="1" applyBorder="1" applyAlignment="1">
      <alignment horizontal="center"/>
    </xf>
    <xf numFmtId="20" fontId="3" fillId="6" borderId="11" xfId="0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16" fontId="3" fillId="5" borderId="14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20" fontId="0" fillId="5" borderId="14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20" fontId="3" fillId="5" borderId="14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16" fontId="3" fillId="5" borderId="0" xfId="0" applyNumberFormat="1" applyFont="1" applyFill="1" applyAlignment="1">
      <alignment horizontal="center"/>
    </xf>
    <xf numFmtId="20" fontId="1" fillId="5" borderId="0" xfId="0" applyNumberFormat="1" applyFont="1" applyFill="1" applyAlignment="1">
      <alignment horizontal="center"/>
    </xf>
    <xf numFmtId="20" fontId="2" fillId="5" borderId="0" xfId="0" applyNumberFormat="1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20" fontId="0" fillId="5" borderId="17" xfId="0" applyNumberFormat="1" applyFill="1" applyBorder="1" applyAlignment="1">
      <alignment horizontal="center"/>
    </xf>
    <xf numFmtId="20" fontId="3" fillId="5" borderId="17" xfId="0" applyNumberFormat="1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16" fontId="3" fillId="3" borderId="20" xfId="0" applyNumberFormat="1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20" fontId="0" fillId="3" borderId="20" xfId="0" applyNumberFormat="1" applyFill="1" applyBorder="1" applyAlignment="1">
      <alignment horizontal="center"/>
    </xf>
    <xf numFmtId="20" fontId="3" fillId="3" borderId="20" xfId="0" applyNumberFormat="1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20" fontId="3" fillId="3" borderId="17" xfId="0" applyNumberFormat="1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" fontId="3" fillId="2" borderId="20" xfId="0" applyNumberFormat="1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20" fontId="0" fillId="2" borderId="20" xfId="0" applyNumberFormat="1" applyFill="1" applyBorder="1" applyAlignment="1">
      <alignment horizontal="center"/>
    </xf>
    <xf numFmtId="20" fontId="3" fillId="2" borderId="20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0" fontId="3" fillId="2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16" fontId="3" fillId="4" borderId="20" xfId="0" applyNumberFormat="1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20" fontId="0" fillId="4" borderId="20" xfId="0" applyNumberFormat="1" applyFill="1" applyBorder="1" applyAlignment="1">
      <alignment horizontal="center"/>
    </xf>
    <xf numFmtId="20" fontId="3" fillId="4" borderId="20" xfId="0" applyNumberFormat="1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20" fontId="0" fillId="4" borderId="17" xfId="0" applyNumberFormat="1" applyFill="1" applyBorder="1" applyAlignment="1">
      <alignment horizontal="center"/>
    </xf>
    <xf numFmtId="20" fontId="3" fillId="4" borderId="17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20" fontId="0" fillId="2" borderId="17" xfId="0" applyNumberFormat="1" applyFill="1" applyBorder="1" applyAlignment="1">
      <alignment horizontal="center"/>
    </xf>
    <xf numFmtId="20" fontId="9" fillId="7" borderId="2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horizontal="left"/>
    </xf>
    <xf numFmtId="0" fontId="14" fillId="3" borderId="9" xfId="0" applyFont="1" applyFill="1" applyBorder="1"/>
    <xf numFmtId="0" fontId="14" fillId="3" borderId="4" xfId="0" applyFont="1" applyFill="1" applyBorder="1"/>
    <xf numFmtId="0" fontId="16" fillId="3" borderId="5" xfId="0" applyFont="1" applyFill="1" applyBorder="1"/>
    <xf numFmtId="0" fontId="17" fillId="0" borderId="0" xfId="0" applyFont="1"/>
    <xf numFmtId="20" fontId="3" fillId="8" borderId="0" xfId="0" applyNumberFormat="1" applyFont="1" applyFill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20" fontId="0" fillId="8" borderId="0" xfId="0" applyNumberFormat="1" applyFill="1" applyAlignment="1">
      <alignment horizontal="center"/>
    </xf>
    <xf numFmtId="0" fontId="3" fillId="8" borderId="5" xfId="0" applyFont="1" applyFill="1" applyBorder="1" applyAlignment="1">
      <alignment horizontal="center"/>
    </xf>
    <xf numFmtId="16" fontId="3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18" fontId="0" fillId="4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0" fontId="3" fillId="9" borderId="4" xfId="0" applyFont="1" applyFill="1" applyBorder="1" applyAlignment="1">
      <alignment horizontal="center"/>
    </xf>
    <xf numFmtId="16" fontId="3" fillId="9" borderId="0" xfId="0" applyNumberFormat="1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20" fontId="0" fillId="9" borderId="0" xfId="0" applyNumberFormat="1" applyFill="1" applyAlignment="1">
      <alignment horizontal="center"/>
    </xf>
    <xf numFmtId="0" fontId="1" fillId="9" borderId="0" xfId="0" applyFont="1" applyFill="1" applyAlignment="1">
      <alignment horizontal="center"/>
    </xf>
    <xf numFmtId="20" fontId="3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3" fillId="9" borderId="5" xfId="0" applyFont="1" applyFill="1" applyBorder="1" applyAlignment="1">
      <alignment horizontal="center" wrapText="1"/>
    </xf>
    <xf numFmtId="0" fontId="11" fillId="9" borderId="5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20" fontId="0" fillId="10" borderId="0" xfId="0" applyNumberFormat="1" applyFill="1" applyAlignment="1">
      <alignment horizontal="center"/>
    </xf>
    <xf numFmtId="0" fontId="1" fillId="10" borderId="0" xfId="0" applyFont="1" applyFill="1" applyAlignment="1">
      <alignment horizontal="center"/>
    </xf>
    <xf numFmtId="20" fontId="3" fillId="10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10" borderId="5" xfId="0" applyFont="1" applyFill="1" applyBorder="1" applyAlignment="1">
      <alignment horizontal="center"/>
    </xf>
    <xf numFmtId="16" fontId="3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1" fillId="10" borderId="5" xfId="0" applyFont="1" applyFill="1" applyBorder="1" applyAlignment="1">
      <alignment horizontal="center"/>
    </xf>
    <xf numFmtId="166" fontId="3" fillId="8" borderId="0" xfId="0" applyNumberFormat="1" applyFont="1" applyFill="1" applyAlignment="1">
      <alignment horizontal="center"/>
    </xf>
    <xf numFmtId="166" fontId="3" fillId="10" borderId="0" xfId="0" applyNumberFormat="1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20" fontId="0" fillId="2" borderId="0" xfId="0" applyNumberFormat="1" applyFill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" fontId="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11" borderId="4" xfId="0" applyFont="1" applyFill="1" applyBorder="1" applyAlignment="1">
      <alignment horizontal="center"/>
    </xf>
    <xf numFmtId="166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20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0" fontId="3" fillId="11" borderId="0" xfId="0" applyNumberFormat="1" applyFont="1" applyFill="1" applyAlignment="1">
      <alignment horizontal="center"/>
    </xf>
    <xf numFmtId="0" fontId="3" fillId="11" borderId="5" xfId="0" applyFont="1" applyFill="1" applyBorder="1" applyAlignment="1">
      <alignment horizontal="center"/>
    </xf>
    <xf numFmtId="16" fontId="3" fillId="11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3" fillId="12" borderId="4" xfId="0" applyFont="1" applyFill="1" applyBorder="1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20" fontId="0" fillId="12" borderId="0" xfId="0" applyNumberFormat="1" applyFill="1" applyAlignment="1">
      <alignment horizontal="center"/>
    </xf>
    <xf numFmtId="0" fontId="1" fillId="12" borderId="0" xfId="0" applyFont="1" applyFill="1" applyAlignment="1">
      <alignment horizontal="center"/>
    </xf>
    <xf numFmtId="20" fontId="3" fillId="12" borderId="0" xfId="0" applyNumberFormat="1" applyFont="1" applyFill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16" fontId="3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18" fontId="0" fillId="10" borderId="0" xfId="0" applyNumberFormat="1" applyFill="1" applyAlignment="1">
      <alignment horizontal="center"/>
    </xf>
    <xf numFmtId="0" fontId="3" fillId="10" borderId="5" xfId="0" applyFont="1" applyFill="1" applyBorder="1" applyAlignment="1">
      <alignment horizontal="center" wrapText="1"/>
    </xf>
    <xf numFmtId="0" fontId="0" fillId="10" borderId="4" xfId="0" applyFill="1" applyBorder="1" applyAlignment="1">
      <alignment horizontal="center"/>
    </xf>
    <xf numFmtId="16" fontId="0" fillId="10" borderId="0" xfId="0" applyNumberForma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3" fillId="13" borderId="4" xfId="0" applyFont="1" applyFill="1" applyBorder="1" applyAlignment="1">
      <alignment horizontal="center"/>
    </xf>
    <xf numFmtId="16" fontId="3" fillId="13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20" fontId="0" fillId="13" borderId="0" xfId="0" applyNumberFormat="1" applyFill="1" applyAlignment="1">
      <alignment horizontal="center"/>
    </xf>
    <xf numFmtId="20" fontId="3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wrapText="1"/>
    </xf>
    <xf numFmtId="0" fontId="8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3" fillId="14" borderId="4" xfId="0" applyFont="1" applyFill="1" applyBorder="1" applyAlignment="1">
      <alignment horizontal="center"/>
    </xf>
    <xf numFmtId="166" fontId="3" fillId="14" borderId="0" xfId="0" applyNumberFormat="1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20" fontId="0" fillId="14" borderId="0" xfId="0" applyNumberFormat="1" applyFill="1" applyAlignment="1">
      <alignment horizontal="center"/>
    </xf>
    <xf numFmtId="20" fontId="3" fillId="14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166" fontId="3" fillId="15" borderId="0" xfId="0" applyNumberFormat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" fillId="15" borderId="0" xfId="0" applyFont="1" applyFill="1" applyAlignment="1">
      <alignment horizontal="center"/>
    </xf>
    <xf numFmtId="20" fontId="0" fillId="15" borderId="0" xfId="0" applyNumberFormat="1" applyFill="1" applyAlignment="1">
      <alignment horizontal="center"/>
    </xf>
    <xf numFmtId="20" fontId="3" fillId="15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166" fontId="3" fillId="13" borderId="0" xfId="0" applyNumberFormat="1" applyFont="1" applyFill="1" applyAlignment="1">
      <alignment horizontal="center"/>
    </xf>
    <xf numFmtId="0" fontId="11" fillId="13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 wrapText="1"/>
    </xf>
    <xf numFmtId="0" fontId="11" fillId="13" borderId="5" xfId="0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/>
    </xf>
    <xf numFmtId="16" fontId="3" fillId="16" borderId="0" xfId="0" applyNumberFormat="1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20" fontId="0" fillId="16" borderId="0" xfId="0" applyNumberFormat="1" applyFill="1" applyAlignment="1">
      <alignment horizontal="center"/>
    </xf>
    <xf numFmtId="20" fontId="3" fillId="16" borderId="0" xfId="0" applyNumberFormat="1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11" fillId="16" borderId="5" xfId="0" applyFont="1" applyFill="1" applyBorder="1" applyAlignment="1">
      <alignment horizontal="center" wrapText="1"/>
    </xf>
    <xf numFmtId="0" fontId="1" fillId="1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1" fillId="10" borderId="5" xfId="0" applyFont="1" applyFill="1" applyBorder="1" applyAlignment="1">
      <alignment horizontal="center" wrapText="1"/>
    </xf>
    <xf numFmtId="0" fontId="18" fillId="10" borderId="5" xfId="0" applyFont="1" applyFill="1" applyBorder="1" applyAlignment="1">
      <alignment horizontal="center"/>
    </xf>
    <xf numFmtId="20" fontId="1" fillId="10" borderId="0" xfId="0" applyNumberFormat="1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20" fontId="1" fillId="13" borderId="0" xfId="0" applyNumberFormat="1" applyFont="1" applyFill="1" applyAlignment="1">
      <alignment horizontal="center"/>
    </xf>
    <xf numFmtId="20" fontId="2" fillId="13" borderId="0" xfId="0" applyNumberFormat="1" applyFont="1" applyFill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16" fontId="3" fillId="15" borderId="0" xfId="0" applyNumberFormat="1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21" fontId="2" fillId="9" borderId="0" xfId="0" applyNumberFormat="1" applyFont="1" applyFill="1" applyAlignment="1">
      <alignment horizontal="center"/>
    </xf>
    <xf numFmtId="21" fontId="3" fillId="9" borderId="0" xfId="0" applyNumberFormat="1" applyFont="1" applyFill="1" applyAlignment="1">
      <alignment horizontal="center"/>
    </xf>
    <xf numFmtId="21" fontId="3" fillId="10" borderId="0" xfId="0" applyNumberFormat="1" applyFont="1" applyFill="1" applyAlignment="1">
      <alignment horizontal="center"/>
    </xf>
    <xf numFmtId="0" fontId="3" fillId="17" borderId="4" xfId="0" applyFont="1" applyFill="1" applyBorder="1" applyAlignment="1">
      <alignment horizontal="center"/>
    </xf>
    <xf numFmtId="16" fontId="3" fillId="17" borderId="0" xfId="0" applyNumberFormat="1" applyFont="1" applyFill="1" applyAlignment="1">
      <alignment horizontal="center"/>
    </xf>
    <xf numFmtId="0" fontId="15" fillId="17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1" fillId="17" borderId="0" xfId="0" applyFont="1" applyFill="1" applyAlignment="1">
      <alignment horizontal="center"/>
    </xf>
    <xf numFmtId="20" fontId="0" fillId="17" borderId="0" xfId="0" applyNumberFormat="1" applyFill="1" applyAlignment="1">
      <alignment horizontal="center"/>
    </xf>
    <xf numFmtId="20" fontId="3" fillId="17" borderId="0" xfId="0" applyNumberFormat="1" applyFont="1" applyFill="1" applyAlignment="1">
      <alignment horizontal="center"/>
    </xf>
    <xf numFmtId="21" fontId="3" fillId="17" borderId="0" xfId="0" applyNumberFormat="1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3" fillId="17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46" fontId="3" fillId="17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16" fontId="3" fillId="4" borderId="0" xfId="0" applyNumberFormat="1" applyFont="1" applyFill="1" applyAlignment="1">
      <alignment horizontal="center"/>
    </xf>
    <xf numFmtId="21" fontId="3" fillId="4" borderId="0" xfId="0" applyNumberFormat="1" applyFont="1" applyFill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" fontId="0" fillId="4" borderId="0" xfId="0" applyNumberFormat="1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166" fontId="0" fillId="18" borderId="0" xfId="0" applyNumberFormat="1" applyFill="1" applyAlignment="1">
      <alignment horizontal="center"/>
    </xf>
    <xf numFmtId="0" fontId="15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20" fontId="0" fillId="18" borderId="0" xfId="0" applyNumberFormat="1" applyFill="1" applyAlignment="1">
      <alignment horizontal="center"/>
    </xf>
    <xf numFmtId="0" fontId="1" fillId="18" borderId="0" xfId="0" applyFont="1" applyFill="1" applyAlignment="1">
      <alignment horizontal="center"/>
    </xf>
    <xf numFmtId="20" fontId="3" fillId="18" borderId="0" xfId="0" applyNumberFormat="1" applyFont="1" applyFill="1" applyAlignment="1">
      <alignment horizontal="center"/>
    </xf>
    <xf numFmtId="0" fontId="0" fillId="18" borderId="5" xfId="0" applyFill="1" applyBorder="1" applyAlignment="1">
      <alignment horizontal="center"/>
    </xf>
    <xf numFmtId="21" fontId="0" fillId="13" borderId="0" xfId="0" applyNumberFormat="1" applyFill="1" applyAlignment="1">
      <alignment horizontal="center"/>
    </xf>
    <xf numFmtId="21" fontId="3" fillId="13" borderId="0" xfId="0" applyNumberFormat="1" applyFont="1" applyFill="1" applyAlignment="1">
      <alignment horizontal="center"/>
    </xf>
    <xf numFmtId="0" fontId="0" fillId="13" borderId="5" xfId="0" applyFill="1" applyBorder="1" applyAlignment="1">
      <alignment horizontal="center"/>
    </xf>
    <xf numFmtId="16" fontId="0" fillId="13" borderId="0" xfId="0" applyNumberFormat="1" applyFill="1" applyAlignment="1">
      <alignment horizontal="center"/>
    </xf>
    <xf numFmtId="0" fontId="3" fillId="15" borderId="5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7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 wrapText="1"/>
    </xf>
    <xf numFmtId="0" fontId="0" fillId="13" borderId="4" xfId="0" applyFill="1" applyBorder="1" applyAlignment="1">
      <alignment horizontal="center"/>
    </xf>
    <xf numFmtId="166" fontId="0" fillId="13" borderId="0" xfId="0" applyNumberFormat="1" applyFill="1" applyAlignment="1">
      <alignment horizontal="center"/>
    </xf>
    <xf numFmtId="0" fontId="3" fillId="3" borderId="5" xfId="0" applyFont="1" applyFill="1" applyBorder="1" applyAlignment="1">
      <alignment horizontal="center" vertical="top" wrapText="1"/>
    </xf>
    <xf numFmtId="0" fontId="19" fillId="8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16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DCF7"/>
      <color rgb="FFFFE1E1"/>
      <color rgb="FFFA9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600075</xdr:colOff>
      <xdr:row>22</xdr:row>
      <xdr:rowOff>112947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1B5AF-1EC0-B2D0-64B0-497356793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6075" cy="430394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22</xdr:row>
      <xdr:rowOff>123825</xdr:rowOff>
    </xdr:from>
    <xdr:to>
      <xdr:col>2</xdr:col>
      <xdr:colOff>180801</xdr:colOff>
      <xdr:row>24</xdr:row>
      <xdr:rowOff>104730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CB624F-1314-B6DA-3976-C7E1D7EF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14825"/>
          <a:ext cx="1390476" cy="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4EF6-B5E2-4E63-9C7F-19DD04FAF61A}">
  <sheetPr>
    <tabColor theme="5" tint="0.39997558519241921"/>
  </sheetPr>
  <dimension ref="M1:X7"/>
  <sheetViews>
    <sheetView workbookViewId="0">
      <selection activeCell="G28" sqref="G28"/>
    </sheetView>
  </sheetViews>
  <sheetFormatPr defaultRowHeight="15" x14ac:dyDescent="0.25"/>
  <sheetData>
    <row r="1" spans="13:24" x14ac:dyDescent="0.25">
      <c r="M1" s="20" t="s">
        <v>0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3:24" x14ac:dyDescent="0.25">
      <c r="M2" s="21" t="s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3:24" x14ac:dyDescent="0.25">
      <c r="M3" s="21" t="s">
        <v>2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5" spans="13:24" x14ac:dyDescent="0.25">
      <c r="M5" s="22" t="s">
        <v>3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7" spans="13:24" x14ac:dyDescent="0.25">
      <c r="M7" s="22" t="s">
        <v>4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46C9-96B3-49BB-B41E-93D4297BF8CF}">
  <sheetPr>
    <tabColor theme="0" tint="-0.249977111117893"/>
  </sheetPr>
  <dimension ref="A1:A5"/>
  <sheetViews>
    <sheetView workbookViewId="0">
      <selection activeCell="D36" sqref="D36"/>
    </sheetView>
  </sheetViews>
  <sheetFormatPr defaultRowHeight="15" x14ac:dyDescent="0.25"/>
  <cols>
    <col min="1" max="1" width="11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88C2-8C8D-4137-AB61-6C93DDFB6735}">
  <sheetPr>
    <tabColor rgb="FF92D050"/>
  </sheetPr>
  <dimension ref="A1:S329"/>
  <sheetViews>
    <sheetView tabSelected="1" zoomScale="80" zoomScaleNormal="80" workbookViewId="0">
      <pane ySplit="1" topLeftCell="A189" activePane="bottomLeft" state="frozen"/>
      <selection pane="bottomLeft" activeCell="M205" sqref="M205"/>
    </sheetView>
  </sheetViews>
  <sheetFormatPr defaultRowHeight="15" x14ac:dyDescent="0.25"/>
  <cols>
    <col min="1" max="1" width="7.140625" style="2" bestFit="1" customWidth="1"/>
    <col min="2" max="2" width="10.42578125" style="2" bestFit="1" customWidth="1"/>
    <col min="3" max="3" width="21.5703125" style="2" customWidth="1"/>
    <col min="4" max="4" width="9.85546875" style="2" customWidth="1"/>
    <col min="5" max="5" width="12.28515625" style="2" customWidth="1"/>
    <col min="6" max="6" width="18.85546875" style="2" customWidth="1"/>
    <col min="7" max="7" width="8.5703125" style="2" bestFit="1" customWidth="1"/>
    <col min="8" max="8" width="8.5703125" style="2" customWidth="1"/>
    <col min="9" max="9" width="10.28515625" style="2" bestFit="1" customWidth="1"/>
    <col min="10" max="11" width="12.5703125" style="2" bestFit="1" customWidth="1"/>
    <col min="12" max="12" width="13.85546875" style="2" bestFit="1" customWidth="1"/>
    <col min="13" max="13" width="10.42578125" style="2" bestFit="1" customWidth="1"/>
    <col min="14" max="14" width="10.42578125" style="2" customWidth="1"/>
    <col min="15" max="15" width="13.85546875" style="2" bestFit="1" customWidth="1"/>
    <col min="16" max="16" width="47.42578125" style="2" customWidth="1"/>
    <col min="17" max="17" width="12.42578125" bestFit="1" customWidth="1"/>
    <col min="18" max="18" width="7.5703125" customWidth="1"/>
    <col min="19" max="19" width="149.140625" bestFit="1" customWidth="1"/>
  </cols>
  <sheetData>
    <row r="1" spans="1:19" ht="60.75" thickBot="1" x14ac:dyDescent="0.3">
      <c r="A1" s="24" t="s">
        <v>10</v>
      </c>
      <c r="B1" s="25" t="s">
        <v>11</v>
      </c>
      <c r="C1" s="26" t="s">
        <v>12</v>
      </c>
      <c r="D1" s="26" t="s">
        <v>13</v>
      </c>
      <c r="E1" s="26" t="s">
        <v>14</v>
      </c>
      <c r="F1" s="25" t="s">
        <v>15</v>
      </c>
      <c r="G1" s="26" t="s">
        <v>16</v>
      </c>
      <c r="H1" s="26" t="s">
        <v>17</v>
      </c>
      <c r="I1" s="26" t="s">
        <v>18</v>
      </c>
      <c r="J1" s="25" t="s">
        <v>19</v>
      </c>
      <c r="K1" s="296" t="s">
        <v>20</v>
      </c>
      <c r="L1" s="26" t="s">
        <v>21</v>
      </c>
      <c r="M1" s="26" t="s">
        <v>22</v>
      </c>
      <c r="N1" s="26" t="s">
        <v>23</v>
      </c>
      <c r="O1" s="26" t="s">
        <v>24</v>
      </c>
      <c r="P1" s="27" t="s">
        <v>25</v>
      </c>
      <c r="Q1" s="9" t="s">
        <v>26</v>
      </c>
      <c r="R1" s="30">
        <f>SUM(O7:O325)</f>
        <v>151</v>
      </c>
    </row>
    <row r="2" spans="1:19" x14ac:dyDescent="0.25">
      <c r="A2" s="38">
        <v>100</v>
      </c>
      <c r="B2" s="39">
        <v>45768</v>
      </c>
      <c r="C2" s="40">
        <v>1</v>
      </c>
      <c r="D2" s="40" t="s">
        <v>27</v>
      </c>
      <c r="E2" s="40" t="s">
        <v>28</v>
      </c>
      <c r="F2" s="40" t="s">
        <v>29</v>
      </c>
      <c r="G2" s="40" t="s">
        <v>30</v>
      </c>
      <c r="H2" s="40" t="s">
        <v>30</v>
      </c>
      <c r="I2" s="184">
        <v>0.30138888888888887</v>
      </c>
      <c r="J2" s="41">
        <v>0.30138888888888887</v>
      </c>
      <c r="K2" s="41">
        <v>0.30277777777777776</v>
      </c>
      <c r="L2" s="41">
        <f>K2-J2</f>
        <v>1.388888888888884E-3</v>
      </c>
      <c r="M2" s="41">
        <f>SUM(L2:L4)</f>
        <v>5.5555555555555358E-3</v>
      </c>
      <c r="N2" s="41">
        <v>0.3125</v>
      </c>
      <c r="O2" s="40">
        <v>2</v>
      </c>
      <c r="P2" s="42" t="s">
        <v>31</v>
      </c>
    </row>
    <row r="3" spans="1:19" x14ac:dyDescent="0.25">
      <c r="A3" s="43"/>
      <c r="B3" s="36"/>
      <c r="C3" s="35"/>
      <c r="D3" s="35"/>
      <c r="E3" s="35"/>
      <c r="F3" s="35"/>
      <c r="G3" s="35"/>
      <c r="H3" s="35"/>
      <c r="I3" s="35"/>
      <c r="J3" s="37">
        <v>0.30555555555555558</v>
      </c>
      <c r="K3" s="37">
        <v>0.30625000000000002</v>
      </c>
      <c r="L3" s="37">
        <f t="shared" ref="L3:L65" si="0">K3-J3</f>
        <v>6.9444444444444198E-4</v>
      </c>
      <c r="M3" s="35"/>
      <c r="N3" s="35"/>
      <c r="O3" s="35"/>
      <c r="P3" s="374" t="s">
        <v>32</v>
      </c>
      <c r="R3" s="10" t="s">
        <v>33</v>
      </c>
      <c r="S3" s="13"/>
    </row>
    <row r="4" spans="1:19" x14ac:dyDescent="0.25">
      <c r="A4" s="43"/>
      <c r="B4" s="36"/>
      <c r="C4" s="35"/>
      <c r="D4" s="35"/>
      <c r="E4" s="35"/>
      <c r="F4" s="35"/>
      <c r="G4" s="37"/>
      <c r="H4" s="37"/>
      <c r="I4" s="37"/>
      <c r="J4" s="37">
        <v>0.30902777777777779</v>
      </c>
      <c r="K4" s="37">
        <v>0.3125</v>
      </c>
      <c r="L4" s="37">
        <f t="shared" si="0"/>
        <v>3.4722222222222099E-3</v>
      </c>
      <c r="M4" s="35"/>
      <c r="N4" s="35"/>
      <c r="O4" s="35"/>
      <c r="P4" s="374"/>
      <c r="R4" s="14">
        <v>1</v>
      </c>
      <c r="S4" s="11" t="s">
        <v>34</v>
      </c>
    </row>
    <row r="5" spans="1:19" x14ac:dyDescent="0.25">
      <c r="A5" s="43"/>
      <c r="B5" s="36"/>
      <c r="C5" s="35"/>
      <c r="D5" s="35"/>
      <c r="E5" s="35"/>
      <c r="F5" s="35"/>
      <c r="G5" s="35" t="s">
        <v>35</v>
      </c>
      <c r="H5" s="35" t="s">
        <v>35</v>
      </c>
      <c r="I5" s="37">
        <v>0.39097222222222222</v>
      </c>
      <c r="J5" s="37">
        <v>0.39097222222222222</v>
      </c>
      <c r="K5" s="37">
        <v>0.39583333333333331</v>
      </c>
      <c r="L5" s="37">
        <f t="shared" si="0"/>
        <v>4.8611111111110938E-3</v>
      </c>
      <c r="M5" s="37">
        <f>SUM(L5:L6)</f>
        <v>8.3333333333333592E-3</v>
      </c>
      <c r="N5" s="37">
        <v>0.40069444444444446</v>
      </c>
      <c r="O5" s="35"/>
      <c r="P5" s="374"/>
      <c r="R5" s="14">
        <v>2</v>
      </c>
      <c r="S5" s="12" t="s">
        <v>36</v>
      </c>
    </row>
    <row r="6" spans="1:19" x14ac:dyDescent="0.25">
      <c r="A6" s="44"/>
      <c r="B6" s="45"/>
      <c r="C6" s="46"/>
      <c r="D6" s="46"/>
      <c r="E6" s="46"/>
      <c r="F6" s="46"/>
      <c r="G6" s="46"/>
      <c r="H6" s="46"/>
      <c r="I6" s="46"/>
      <c r="J6" s="47">
        <v>0.3972222222222222</v>
      </c>
      <c r="K6" s="47">
        <v>0.40069444444444446</v>
      </c>
      <c r="L6" s="47">
        <f t="shared" si="0"/>
        <v>3.4722222222222654E-3</v>
      </c>
      <c r="M6" s="46"/>
      <c r="N6" s="46"/>
      <c r="O6" s="46"/>
      <c r="P6" s="375"/>
      <c r="R6" s="15">
        <v>3</v>
      </c>
      <c r="S6" s="11" t="s">
        <v>37</v>
      </c>
    </row>
    <row r="7" spans="1:19" ht="30" x14ac:dyDescent="0.25">
      <c r="A7" s="49">
        <v>1</v>
      </c>
      <c r="B7" s="51">
        <v>45782</v>
      </c>
      <c r="C7" s="52">
        <v>5</v>
      </c>
      <c r="D7" s="52" t="s">
        <v>38</v>
      </c>
      <c r="E7" s="52" t="s">
        <v>39</v>
      </c>
      <c r="F7" s="200" t="s">
        <v>40</v>
      </c>
      <c r="G7" s="63">
        <v>1</v>
      </c>
      <c r="H7" s="63">
        <v>1</v>
      </c>
      <c r="I7" s="54">
        <v>0.44444444444444442</v>
      </c>
      <c r="J7" s="55">
        <v>0.44444444444444442</v>
      </c>
      <c r="K7" s="55">
        <v>0.44722222222222224</v>
      </c>
      <c r="L7" s="55">
        <f t="shared" si="0"/>
        <v>2.7777777777778234E-3</v>
      </c>
      <c r="M7" s="55">
        <v>2.7777777777777779E-3</v>
      </c>
      <c r="N7" s="55">
        <v>0.44722222222222224</v>
      </c>
      <c r="O7" s="65">
        <v>4</v>
      </c>
      <c r="P7" s="83" t="s">
        <v>41</v>
      </c>
      <c r="R7" s="14">
        <v>4</v>
      </c>
      <c r="S7" s="188" t="s">
        <v>42</v>
      </c>
    </row>
    <row r="8" spans="1:19" x14ac:dyDescent="0.25">
      <c r="A8" s="49"/>
      <c r="B8" s="51"/>
      <c r="C8" s="52"/>
      <c r="D8" s="52"/>
      <c r="E8" s="52"/>
      <c r="F8" s="53"/>
      <c r="G8" s="63">
        <v>2</v>
      </c>
      <c r="H8" s="63">
        <v>2</v>
      </c>
      <c r="I8" s="54">
        <v>0.45902777777777776</v>
      </c>
      <c r="J8" s="55">
        <v>0.45902777777777776</v>
      </c>
      <c r="K8" s="55">
        <v>0.46180555555555558</v>
      </c>
      <c r="L8" s="55">
        <f t="shared" si="0"/>
        <v>2.7777777777778234E-3</v>
      </c>
      <c r="M8" s="55">
        <v>2.7777777777777779E-3</v>
      </c>
      <c r="N8" s="55">
        <v>0.46180555555555558</v>
      </c>
      <c r="O8" s="52"/>
      <c r="P8" s="50"/>
      <c r="R8" s="14">
        <v>5</v>
      </c>
      <c r="S8" s="11" t="s">
        <v>43</v>
      </c>
    </row>
    <row r="9" spans="1:19" x14ac:dyDescent="0.25">
      <c r="A9" s="49"/>
      <c r="B9" s="51"/>
      <c r="C9" s="52"/>
      <c r="D9" s="52"/>
      <c r="E9" s="52"/>
      <c r="F9" s="53"/>
      <c r="G9" s="63">
        <v>3</v>
      </c>
      <c r="H9" s="63">
        <v>3</v>
      </c>
      <c r="I9" s="54">
        <v>0.46736111111111112</v>
      </c>
      <c r="J9" s="55">
        <v>0.46736111111111112</v>
      </c>
      <c r="K9" s="55">
        <v>0.46875</v>
      </c>
      <c r="L9" s="55">
        <f t="shared" si="0"/>
        <v>1.388888888888884E-3</v>
      </c>
      <c r="M9" s="55">
        <v>1.3888888888888889E-3</v>
      </c>
      <c r="N9" s="55">
        <v>0.46875</v>
      </c>
      <c r="O9" s="52"/>
      <c r="P9" s="50" t="s">
        <v>44</v>
      </c>
      <c r="R9" s="14">
        <v>6</v>
      </c>
      <c r="S9" s="11" t="s">
        <v>45</v>
      </c>
    </row>
    <row r="10" spans="1:19" x14ac:dyDescent="0.25">
      <c r="A10" s="56"/>
      <c r="B10" s="57"/>
      <c r="C10" s="58"/>
      <c r="D10" s="58"/>
      <c r="E10" s="58"/>
      <c r="F10" s="59"/>
      <c r="G10" s="64">
        <v>4</v>
      </c>
      <c r="H10" s="64">
        <v>4</v>
      </c>
      <c r="I10" s="60">
        <v>0.48680555555555555</v>
      </c>
      <c r="J10" s="61">
        <v>0.48680555555555555</v>
      </c>
      <c r="K10" s="61">
        <v>0.48888888888888887</v>
      </c>
      <c r="L10" s="61">
        <v>2.0833333333333333E-3</v>
      </c>
      <c r="M10" s="61">
        <v>2.0833333333333333E-3</v>
      </c>
      <c r="N10" s="61">
        <v>0.48888888888888887</v>
      </c>
      <c r="O10" s="58"/>
      <c r="P10" s="62"/>
      <c r="R10" s="185" t="s">
        <v>46</v>
      </c>
      <c r="S10" s="11"/>
    </row>
    <row r="11" spans="1:19" ht="30" x14ac:dyDescent="0.25">
      <c r="A11" s="66">
        <v>2</v>
      </c>
      <c r="B11" s="67">
        <v>45782</v>
      </c>
      <c r="C11" s="68">
        <v>5</v>
      </c>
      <c r="D11" s="68" t="s">
        <v>38</v>
      </c>
      <c r="E11" s="68" t="s">
        <v>39</v>
      </c>
      <c r="F11" s="69" t="s">
        <v>47</v>
      </c>
      <c r="G11" s="81">
        <v>1</v>
      </c>
      <c r="H11" s="81">
        <v>5</v>
      </c>
      <c r="I11" s="69">
        <v>7.7777777777777779E-2</v>
      </c>
      <c r="J11" s="71">
        <v>7.7777777777777779E-2</v>
      </c>
      <c r="K11" s="71">
        <v>7.9861111111111105E-2</v>
      </c>
      <c r="L11" s="71">
        <f t="shared" si="0"/>
        <v>2.0833333333333259E-3</v>
      </c>
      <c r="M11" s="71">
        <v>2.0833333333333333E-3</v>
      </c>
      <c r="N11" s="71">
        <v>7.9861111111111105E-2</v>
      </c>
      <c r="O11" s="72">
        <v>8</v>
      </c>
      <c r="P11" s="84" t="s">
        <v>48</v>
      </c>
      <c r="R11" s="185" t="s">
        <v>49</v>
      </c>
      <c r="S11" s="29"/>
    </row>
    <row r="12" spans="1:19" x14ac:dyDescent="0.25">
      <c r="A12" s="66"/>
      <c r="B12" s="67"/>
      <c r="C12" s="68"/>
      <c r="D12" s="68"/>
      <c r="E12" s="68"/>
      <c r="F12" s="70"/>
      <c r="G12" s="81">
        <v>2</v>
      </c>
      <c r="H12" s="81">
        <v>6</v>
      </c>
      <c r="I12" s="69">
        <v>8.1944444444444445E-2</v>
      </c>
      <c r="J12" s="71">
        <v>8.1944444444444445E-2</v>
      </c>
      <c r="K12" s="71">
        <v>8.4722222222222227E-2</v>
      </c>
      <c r="L12" s="71">
        <f t="shared" si="0"/>
        <v>2.7777777777777818E-3</v>
      </c>
      <c r="M12" s="71">
        <v>2.7777777777777779E-3</v>
      </c>
      <c r="N12" s="71">
        <v>8.4722222222222227E-2</v>
      </c>
      <c r="O12" s="68"/>
      <c r="P12" s="73"/>
      <c r="R12" s="14">
        <v>7</v>
      </c>
      <c r="S12" s="11" t="s">
        <v>50</v>
      </c>
    </row>
    <row r="13" spans="1:19" x14ac:dyDescent="0.25">
      <c r="A13" s="66"/>
      <c r="B13" s="67"/>
      <c r="C13" s="68"/>
      <c r="D13" s="68"/>
      <c r="E13" s="68"/>
      <c r="F13" s="70"/>
      <c r="G13" s="81">
        <v>3</v>
      </c>
      <c r="H13" s="81">
        <v>7</v>
      </c>
      <c r="I13" s="69">
        <v>8.611111111111111E-2</v>
      </c>
      <c r="J13" s="71">
        <v>8.611111111111111E-2</v>
      </c>
      <c r="K13" s="71">
        <v>8.6805555555555552E-2</v>
      </c>
      <c r="L13" s="71">
        <f t="shared" si="0"/>
        <v>6.9444444444444198E-4</v>
      </c>
      <c r="M13" s="71">
        <v>6.9444444444444447E-4</v>
      </c>
      <c r="N13" s="71">
        <v>8.6805555555555552E-2</v>
      </c>
      <c r="O13" s="68"/>
      <c r="P13" s="73" t="s">
        <v>44</v>
      </c>
      <c r="R13" s="14">
        <v>8</v>
      </c>
      <c r="S13" s="11" t="s">
        <v>51</v>
      </c>
    </row>
    <row r="14" spans="1:19" x14ac:dyDescent="0.25">
      <c r="A14" s="66"/>
      <c r="B14" s="67"/>
      <c r="C14" s="68"/>
      <c r="D14" s="68"/>
      <c r="E14" s="68"/>
      <c r="F14" s="70"/>
      <c r="G14" s="81">
        <v>4</v>
      </c>
      <c r="H14" s="81">
        <v>8</v>
      </c>
      <c r="I14" s="69">
        <v>8.8888888888888892E-2</v>
      </c>
      <c r="J14" s="71">
        <v>8.8888888888888892E-2</v>
      </c>
      <c r="K14" s="71">
        <v>9.166666666666666E-2</v>
      </c>
      <c r="L14" s="71">
        <f t="shared" si="0"/>
        <v>2.7777777777777679E-3</v>
      </c>
      <c r="M14" s="71">
        <v>2.7777777777777779E-3</v>
      </c>
      <c r="N14" s="71">
        <v>9.166666666666666E-2</v>
      </c>
      <c r="O14" s="68"/>
      <c r="P14" s="73"/>
      <c r="R14" s="186" t="s">
        <v>52</v>
      </c>
      <c r="S14" s="11"/>
    </row>
    <row r="15" spans="1:19" x14ac:dyDescent="0.25">
      <c r="A15" s="66"/>
      <c r="B15" s="67"/>
      <c r="C15" s="68"/>
      <c r="D15" s="68"/>
      <c r="E15" s="68"/>
      <c r="F15" s="70"/>
      <c r="G15" s="81">
        <v>5</v>
      </c>
      <c r="H15" s="81">
        <v>9</v>
      </c>
      <c r="I15" s="69">
        <v>9.7916666666666666E-2</v>
      </c>
      <c r="J15" s="71">
        <v>9.7916666666666666E-2</v>
      </c>
      <c r="K15" s="71">
        <v>9.930555555555555E-2</v>
      </c>
      <c r="L15" s="71">
        <f t="shared" si="0"/>
        <v>1.388888888888884E-3</v>
      </c>
      <c r="M15" s="71">
        <v>1.3888888888888889E-3</v>
      </c>
      <c r="N15" s="71">
        <v>9.930555555555555E-2</v>
      </c>
      <c r="O15" s="68"/>
      <c r="P15" s="73"/>
      <c r="R15" s="186" t="s">
        <v>53</v>
      </c>
      <c r="S15" s="11"/>
    </row>
    <row r="16" spans="1:19" x14ac:dyDescent="0.25">
      <c r="A16" s="66"/>
      <c r="B16" s="67"/>
      <c r="C16" s="68"/>
      <c r="D16" s="68"/>
      <c r="E16" s="68"/>
      <c r="F16" s="70"/>
      <c r="G16" s="81">
        <v>6</v>
      </c>
      <c r="H16" s="81">
        <v>10</v>
      </c>
      <c r="I16" s="69">
        <v>0.10208333333333333</v>
      </c>
      <c r="J16" s="71">
        <v>0.10208333333333333</v>
      </c>
      <c r="K16" s="71">
        <v>0.10277777777777777</v>
      </c>
      <c r="L16" s="71">
        <f t="shared" si="0"/>
        <v>6.9444444444444198E-4</v>
      </c>
      <c r="M16" s="71">
        <v>6.9444444444444447E-4</v>
      </c>
      <c r="N16" s="71">
        <v>0.10277777777777777</v>
      </c>
      <c r="O16" s="72"/>
      <c r="P16" s="73"/>
      <c r="R16" s="14">
        <v>9</v>
      </c>
      <c r="S16" s="11" t="s">
        <v>54</v>
      </c>
    </row>
    <row r="17" spans="1:19" x14ac:dyDescent="0.25">
      <c r="A17" s="66"/>
      <c r="B17" s="67"/>
      <c r="C17" s="68"/>
      <c r="D17" s="68"/>
      <c r="E17" s="68"/>
      <c r="F17" s="70"/>
      <c r="G17" s="81">
        <v>7</v>
      </c>
      <c r="H17" s="81">
        <v>11</v>
      </c>
      <c r="I17" s="69">
        <v>0.11041666666666666</v>
      </c>
      <c r="J17" s="71">
        <v>0.11041666666666666</v>
      </c>
      <c r="K17" s="71">
        <v>0.1111111111111111</v>
      </c>
      <c r="L17" s="71">
        <f t="shared" si="0"/>
        <v>6.9444444444444198E-4</v>
      </c>
      <c r="M17" s="71">
        <v>6.9444444444444447E-4</v>
      </c>
      <c r="N17" s="71">
        <v>0.1111111111111111</v>
      </c>
      <c r="O17" s="68"/>
      <c r="P17" s="73"/>
      <c r="R17" s="14">
        <v>10</v>
      </c>
      <c r="S17" s="11" t="s">
        <v>55</v>
      </c>
    </row>
    <row r="18" spans="1:19" x14ac:dyDescent="0.25">
      <c r="A18" s="74"/>
      <c r="B18" s="75"/>
      <c r="C18" s="76"/>
      <c r="D18" s="76"/>
      <c r="E18" s="76"/>
      <c r="F18" s="77"/>
      <c r="G18" s="82">
        <v>8</v>
      </c>
      <c r="H18" s="82">
        <v>12</v>
      </c>
      <c r="I18" s="78">
        <v>0.11874999999999999</v>
      </c>
      <c r="J18" s="79">
        <v>0.11874999999999999</v>
      </c>
      <c r="K18" s="79">
        <v>0.11944444444444445</v>
      </c>
      <c r="L18" s="79">
        <f t="shared" si="0"/>
        <v>6.9444444444445586E-4</v>
      </c>
      <c r="M18" s="79">
        <v>6.9444444444444447E-4</v>
      </c>
      <c r="N18" s="79">
        <v>0.11944444444444445</v>
      </c>
      <c r="O18" s="76"/>
      <c r="P18" s="80"/>
      <c r="R18" s="14">
        <v>11</v>
      </c>
      <c r="S18" s="11" t="s">
        <v>56</v>
      </c>
    </row>
    <row r="19" spans="1:19" ht="30" x14ac:dyDescent="0.25">
      <c r="A19" s="14">
        <v>3</v>
      </c>
      <c r="B19" s="85">
        <v>45784</v>
      </c>
      <c r="C19" s="86">
        <v>24</v>
      </c>
      <c r="D19" s="86" t="s">
        <v>57</v>
      </c>
      <c r="E19" s="86" t="s">
        <v>58</v>
      </c>
      <c r="F19" s="88" t="s">
        <v>59</v>
      </c>
      <c r="G19" s="100">
        <v>1</v>
      </c>
      <c r="H19" s="100">
        <v>13</v>
      </c>
      <c r="I19" s="101">
        <v>0.51944444444444449</v>
      </c>
      <c r="J19" s="102">
        <v>0.51944444444444449</v>
      </c>
      <c r="K19" s="89">
        <v>0.53402777777777777</v>
      </c>
      <c r="L19" s="89">
        <f t="shared" si="0"/>
        <v>1.4583333333333282E-2</v>
      </c>
      <c r="M19" s="102">
        <v>1.7361111111111112E-2</v>
      </c>
      <c r="N19" s="102">
        <v>4.5138888888888888E-2</v>
      </c>
      <c r="O19" s="93">
        <v>1</v>
      </c>
      <c r="P19" s="90" t="s">
        <v>60</v>
      </c>
      <c r="R19" s="48">
        <v>12</v>
      </c>
      <c r="S19" s="12" t="s">
        <v>61</v>
      </c>
    </row>
    <row r="20" spans="1:19" x14ac:dyDescent="0.25">
      <c r="A20" s="14"/>
      <c r="B20" s="85"/>
      <c r="C20" s="86"/>
      <c r="D20" s="86"/>
      <c r="E20" s="86"/>
      <c r="F20" s="87"/>
      <c r="G20" s="87"/>
      <c r="H20" s="87"/>
      <c r="I20" s="88">
        <v>4.2361111111111113E-2</v>
      </c>
      <c r="J20" s="89">
        <v>4.2361111111111113E-2</v>
      </c>
      <c r="K20" s="102">
        <v>4.5138888888888888E-2</v>
      </c>
      <c r="L20" s="89">
        <f t="shared" si="0"/>
        <v>2.7777777777777748E-3</v>
      </c>
      <c r="M20" s="102"/>
      <c r="N20" s="102"/>
      <c r="O20" s="86"/>
      <c r="P20" s="91" t="s">
        <v>62</v>
      </c>
      <c r="R20" s="15">
        <v>13</v>
      </c>
      <c r="S20" s="12" t="s">
        <v>63</v>
      </c>
    </row>
    <row r="21" spans="1:19" x14ac:dyDescent="0.25">
      <c r="A21" s="14"/>
      <c r="B21" s="85"/>
      <c r="C21" s="86"/>
      <c r="D21" s="86"/>
      <c r="E21" s="86"/>
      <c r="F21" s="87"/>
      <c r="G21" s="87"/>
      <c r="H21" s="87"/>
      <c r="I21" s="87"/>
      <c r="J21" s="89"/>
      <c r="K21" s="89"/>
      <c r="L21" s="89">
        <f t="shared" si="0"/>
        <v>0</v>
      </c>
      <c r="M21" s="86"/>
      <c r="N21" s="86"/>
      <c r="O21" s="86"/>
      <c r="P21" s="92" t="s">
        <v>64</v>
      </c>
      <c r="R21" s="187" t="s">
        <v>65</v>
      </c>
      <c r="S21" s="17"/>
    </row>
    <row r="22" spans="1:19" x14ac:dyDescent="0.25">
      <c r="A22" s="14"/>
      <c r="B22" s="85"/>
      <c r="C22" s="86"/>
      <c r="D22" s="86"/>
      <c r="E22" s="86"/>
      <c r="F22" s="87"/>
      <c r="G22" s="87"/>
      <c r="H22" s="87"/>
      <c r="I22" s="87"/>
      <c r="J22" s="89"/>
      <c r="K22" s="89"/>
      <c r="L22" s="89">
        <f t="shared" si="0"/>
        <v>0</v>
      </c>
      <c r="M22" s="86"/>
      <c r="N22" s="86"/>
      <c r="O22" s="86"/>
      <c r="P22" s="92"/>
      <c r="R22" s="187" t="s">
        <v>66</v>
      </c>
      <c r="S22" s="17"/>
    </row>
    <row r="23" spans="1:19" x14ac:dyDescent="0.25">
      <c r="A23" s="14"/>
      <c r="B23" s="85"/>
      <c r="C23" s="86"/>
      <c r="D23" s="86"/>
      <c r="E23" s="86"/>
      <c r="F23" s="87"/>
      <c r="G23" s="87"/>
      <c r="H23" s="87"/>
      <c r="I23" s="87"/>
      <c r="J23" s="89"/>
      <c r="K23" s="89"/>
      <c r="L23" s="89">
        <f t="shared" si="0"/>
        <v>0</v>
      </c>
      <c r="M23" s="89"/>
      <c r="N23" s="89"/>
      <c r="O23" s="93"/>
      <c r="P23" s="370" t="s">
        <v>67</v>
      </c>
      <c r="R23" s="187" t="s">
        <v>68</v>
      </c>
      <c r="S23" s="17"/>
    </row>
    <row r="24" spans="1:19" ht="15.75" customHeight="1" x14ac:dyDescent="0.25">
      <c r="A24" s="14"/>
      <c r="B24" s="85"/>
      <c r="C24" s="86"/>
      <c r="D24" s="86"/>
      <c r="E24" s="86"/>
      <c r="F24" s="87"/>
      <c r="G24" s="87"/>
      <c r="H24" s="87"/>
      <c r="I24" s="87"/>
      <c r="J24" s="89"/>
      <c r="K24" s="89"/>
      <c r="L24" s="89">
        <f t="shared" si="0"/>
        <v>0</v>
      </c>
      <c r="M24" s="86"/>
      <c r="N24" s="86"/>
      <c r="O24" s="86"/>
      <c r="P24" s="370"/>
      <c r="R24" s="16"/>
      <c r="S24" s="17" t="s">
        <v>69</v>
      </c>
    </row>
    <row r="25" spans="1:19" x14ac:dyDescent="0.25">
      <c r="A25" s="14"/>
      <c r="B25" s="85"/>
      <c r="C25" s="86"/>
      <c r="D25" s="86"/>
      <c r="E25" s="86"/>
      <c r="F25" s="87"/>
      <c r="G25" s="87"/>
      <c r="H25" s="87"/>
      <c r="I25" s="87"/>
      <c r="J25" s="89"/>
      <c r="K25" s="89"/>
      <c r="L25" s="89">
        <f t="shared" si="0"/>
        <v>0</v>
      </c>
      <c r="M25" s="86"/>
      <c r="N25" s="86"/>
      <c r="O25" s="86"/>
      <c r="P25" s="370"/>
      <c r="R25" s="16"/>
      <c r="S25" s="17" t="s">
        <v>70</v>
      </c>
    </row>
    <row r="26" spans="1:19" ht="15.75" thickBot="1" x14ac:dyDescent="0.3">
      <c r="A26" s="14"/>
      <c r="B26" s="85"/>
      <c r="C26" s="86"/>
      <c r="D26" s="86"/>
      <c r="E26" s="86"/>
      <c r="F26" s="87"/>
      <c r="G26" s="87"/>
      <c r="H26" s="87"/>
      <c r="I26" s="87"/>
      <c r="J26" s="89"/>
      <c r="K26" s="89"/>
      <c r="L26" s="89">
        <f t="shared" si="0"/>
        <v>0</v>
      </c>
      <c r="M26" s="86"/>
      <c r="N26" s="86"/>
      <c r="O26" s="86"/>
      <c r="P26" s="370"/>
      <c r="R26" s="18" t="s">
        <v>71</v>
      </c>
      <c r="S26" s="19"/>
    </row>
    <row r="27" spans="1:19" x14ac:dyDescent="0.25">
      <c r="A27" s="14"/>
      <c r="B27" s="85"/>
      <c r="C27" s="86"/>
      <c r="D27" s="86"/>
      <c r="E27" s="86"/>
      <c r="F27" s="87"/>
      <c r="G27" s="87"/>
      <c r="H27" s="87"/>
      <c r="I27" s="87"/>
      <c r="J27" s="89"/>
      <c r="K27" s="89"/>
      <c r="L27" s="89">
        <f t="shared" si="0"/>
        <v>0</v>
      </c>
      <c r="M27" s="89"/>
      <c r="N27" s="89"/>
      <c r="O27" s="93"/>
      <c r="P27" s="92" t="s">
        <v>72</v>
      </c>
    </row>
    <row r="28" spans="1:19" x14ac:dyDescent="0.25">
      <c r="A28" s="94"/>
      <c r="B28" s="95"/>
      <c r="C28" s="96"/>
      <c r="D28" s="96"/>
      <c r="E28" s="96"/>
      <c r="F28" s="97"/>
      <c r="G28" s="97"/>
      <c r="H28" s="97"/>
      <c r="I28" s="97"/>
      <c r="J28" s="98"/>
      <c r="K28" s="98"/>
      <c r="L28" s="98">
        <f t="shared" si="0"/>
        <v>0</v>
      </c>
      <c r="M28" s="96"/>
      <c r="N28" s="96"/>
      <c r="O28" s="96"/>
      <c r="P28" s="99" t="s">
        <v>73</v>
      </c>
      <c r="S28" t="s">
        <v>74</v>
      </c>
    </row>
    <row r="29" spans="1:19" x14ac:dyDescent="0.25">
      <c r="A29" s="103">
        <v>4</v>
      </c>
      <c r="B29" s="104">
        <v>45784</v>
      </c>
      <c r="C29" s="105">
        <v>21</v>
      </c>
      <c r="D29" s="105" t="s">
        <v>57</v>
      </c>
      <c r="E29" s="105" t="s">
        <v>58</v>
      </c>
      <c r="F29" s="106" t="s">
        <v>75</v>
      </c>
      <c r="G29" s="118">
        <v>1</v>
      </c>
      <c r="H29" s="118">
        <v>14</v>
      </c>
      <c r="I29" s="106">
        <v>7.2916666666666671E-2</v>
      </c>
      <c r="J29" s="108">
        <v>7.2916666666666671E-2</v>
      </c>
      <c r="K29" s="108">
        <v>7.4305555555555555E-2</v>
      </c>
      <c r="L29" s="108">
        <f t="shared" si="0"/>
        <v>1.388888888888884E-3</v>
      </c>
      <c r="M29" s="108">
        <v>1.3888888888888889E-3</v>
      </c>
      <c r="N29" s="108">
        <v>7.4305555555555555E-2</v>
      </c>
      <c r="O29" s="111">
        <v>10</v>
      </c>
      <c r="P29" s="109" t="s">
        <v>76</v>
      </c>
      <c r="R29" s="34"/>
    </row>
    <row r="30" spans="1:19" x14ac:dyDescent="0.25">
      <c r="A30" s="103"/>
      <c r="B30" s="104"/>
      <c r="C30" s="105"/>
      <c r="D30" s="105"/>
      <c r="E30" s="105"/>
      <c r="F30" s="107"/>
      <c r="G30" s="118">
        <v>2</v>
      </c>
      <c r="H30" s="118">
        <v>15</v>
      </c>
      <c r="I30" s="106">
        <v>7.4999999999999997E-2</v>
      </c>
      <c r="J30" s="108">
        <v>7.4999999999999997E-2</v>
      </c>
      <c r="K30" s="108">
        <v>7.5694444444444439E-2</v>
      </c>
      <c r="L30" s="108">
        <f t="shared" si="0"/>
        <v>6.9444444444444198E-4</v>
      </c>
      <c r="M30" s="108">
        <v>6.9444444444444447E-4</v>
      </c>
      <c r="N30" s="108">
        <v>7.5694444444444439E-2</v>
      </c>
      <c r="O30" s="105"/>
      <c r="P30" s="109"/>
    </row>
    <row r="31" spans="1:19" ht="30" x14ac:dyDescent="0.25">
      <c r="A31" s="103"/>
      <c r="B31" s="104"/>
      <c r="C31" s="105"/>
      <c r="D31" s="105"/>
      <c r="E31" s="105"/>
      <c r="F31" s="107"/>
      <c r="G31" s="118">
        <v>3</v>
      </c>
      <c r="H31" s="118">
        <v>16</v>
      </c>
      <c r="I31" s="106">
        <v>7.6388888888888895E-2</v>
      </c>
      <c r="J31" s="108">
        <v>7.6388888888888895E-2</v>
      </c>
      <c r="K31" s="108">
        <v>7.7777777777777779E-2</v>
      </c>
      <c r="L31" s="108">
        <f t="shared" si="0"/>
        <v>1.388888888888884E-3</v>
      </c>
      <c r="M31" s="108">
        <v>1.3888888888888889E-3</v>
      </c>
      <c r="N31" s="108">
        <v>7.7777777777777779E-2</v>
      </c>
      <c r="O31" s="105"/>
      <c r="P31" s="110" t="s">
        <v>77</v>
      </c>
    </row>
    <row r="32" spans="1:19" x14ac:dyDescent="0.25">
      <c r="A32" s="103"/>
      <c r="B32" s="104"/>
      <c r="C32" s="105"/>
      <c r="D32" s="105"/>
      <c r="E32" s="105"/>
      <c r="F32" s="107"/>
      <c r="G32" s="118">
        <v>4</v>
      </c>
      <c r="H32" s="118">
        <v>17</v>
      </c>
      <c r="I32" s="106">
        <v>7.8472222222222221E-2</v>
      </c>
      <c r="J32" s="108">
        <v>7.8472222222222221E-2</v>
      </c>
      <c r="K32" s="108">
        <v>8.1250000000000003E-2</v>
      </c>
      <c r="L32" s="108">
        <f t="shared" si="0"/>
        <v>2.7777777777777818E-3</v>
      </c>
      <c r="M32" s="108">
        <v>2.7777777777777779E-3</v>
      </c>
      <c r="N32" s="108">
        <v>8.1250000000000003E-2</v>
      </c>
      <c r="O32" s="111"/>
      <c r="P32" s="109"/>
    </row>
    <row r="33" spans="1:16" x14ac:dyDescent="0.25">
      <c r="A33" s="103"/>
      <c r="B33" s="104"/>
      <c r="C33" s="105"/>
      <c r="D33" s="105"/>
      <c r="E33" s="105"/>
      <c r="F33" s="107"/>
      <c r="G33" s="118">
        <v>5</v>
      </c>
      <c r="H33" s="118">
        <v>18</v>
      </c>
      <c r="I33" s="106">
        <v>8.1250000000000003E-2</v>
      </c>
      <c r="J33" s="108">
        <v>8.1250000000000003E-2</v>
      </c>
      <c r="K33" s="108">
        <v>8.2638888888888887E-2</v>
      </c>
      <c r="L33" s="108">
        <f t="shared" si="0"/>
        <v>1.388888888888884E-3</v>
      </c>
      <c r="M33" s="108">
        <v>1.3888888888888889E-3</v>
      </c>
      <c r="N33" s="108">
        <v>8.2638888888888887E-2</v>
      </c>
      <c r="O33" s="105"/>
      <c r="P33" s="109"/>
    </row>
    <row r="34" spans="1:16" x14ac:dyDescent="0.25">
      <c r="A34" s="103"/>
      <c r="B34" s="104"/>
      <c r="C34" s="105"/>
      <c r="D34" s="105"/>
      <c r="E34" s="105"/>
      <c r="F34" s="107"/>
      <c r="G34" s="118">
        <v>6</v>
      </c>
      <c r="H34" s="118">
        <v>19</v>
      </c>
      <c r="I34" s="106">
        <v>8.2638888888888887E-2</v>
      </c>
      <c r="J34" s="108">
        <v>8.2638888888888887E-2</v>
      </c>
      <c r="K34" s="108">
        <v>8.4722222222222227E-2</v>
      </c>
      <c r="L34" s="108">
        <f t="shared" si="0"/>
        <v>2.0833333333333398E-3</v>
      </c>
      <c r="M34" s="108">
        <v>2.0833333333333333E-3</v>
      </c>
      <c r="N34" s="108">
        <v>8.4722222222222227E-2</v>
      </c>
      <c r="O34" s="111"/>
      <c r="P34" s="109"/>
    </row>
    <row r="35" spans="1:16" x14ac:dyDescent="0.25">
      <c r="A35" s="103"/>
      <c r="B35" s="104"/>
      <c r="C35" s="105"/>
      <c r="D35" s="105"/>
      <c r="E35" s="105"/>
      <c r="F35" s="107"/>
      <c r="G35" s="118">
        <v>7</v>
      </c>
      <c r="H35" s="118">
        <v>20</v>
      </c>
      <c r="I35" s="106">
        <v>8.4722222222222227E-2</v>
      </c>
      <c r="J35" s="108">
        <v>8.4722222222222227E-2</v>
      </c>
      <c r="K35" s="108">
        <v>8.8888888888888892E-2</v>
      </c>
      <c r="L35" s="108">
        <f t="shared" si="0"/>
        <v>4.1666666666666657E-3</v>
      </c>
      <c r="M35" s="108">
        <v>4.1666666666666666E-3</v>
      </c>
      <c r="N35" s="108">
        <v>8.8888888888888892E-2</v>
      </c>
      <c r="O35" s="105"/>
      <c r="P35" s="109"/>
    </row>
    <row r="36" spans="1:16" x14ac:dyDescent="0.25">
      <c r="A36" s="103"/>
      <c r="B36" s="105"/>
      <c r="C36" s="105"/>
      <c r="D36" s="105"/>
      <c r="E36" s="105"/>
      <c r="F36" s="107"/>
      <c r="G36" s="118">
        <v>8</v>
      </c>
      <c r="H36" s="118">
        <v>21</v>
      </c>
      <c r="I36" s="106">
        <v>8.9583333333333334E-2</v>
      </c>
      <c r="J36" s="108">
        <v>8.9583333333333334E-2</v>
      </c>
      <c r="K36" s="108">
        <v>9.0972222222222218E-2</v>
      </c>
      <c r="L36" s="108">
        <f t="shared" si="0"/>
        <v>1.388888888888884E-3</v>
      </c>
      <c r="M36" s="108">
        <v>1.3888888888888889E-3</v>
      </c>
      <c r="N36" s="108">
        <v>9.0972222222222218E-2</v>
      </c>
      <c r="O36" s="105"/>
      <c r="P36" s="109"/>
    </row>
    <row r="37" spans="1:16" x14ac:dyDescent="0.25">
      <c r="A37" s="103"/>
      <c r="B37" s="105"/>
      <c r="C37" s="105"/>
      <c r="D37" s="105"/>
      <c r="E37" s="105"/>
      <c r="F37" s="107"/>
      <c r="G37" s="118">
        <v>9</v>
      </c>
      <c r="H37" s="118">
        <v>22</v>
      </c>
      <c r="I37" s="106">
        <v>9.166666666666666E-2</v>
      </c>
      <c r="J37" s="108">
        <v>9.166666666666666E-2</v>
      </c>
      <c r="K37" s="108">
        <v>9.2361111111111116E-2</v>
      </c>
      <c r="L37" s="108">
        <f t="shared" si="0"/>
        <v>6.9444444444445586E-4</v>
      </c>
      <c r="M37" s="108">
        <v>6.9444444444444447E-4</v>
      </c>
      <c r="N37" s="108">
        <v>9.2361111111111116E-2</v>
      </c>
      <c r="O37" s="105"/>
      <c r="P37" s="109"/>
    </row>
    <row r="38" spans="1:16" x14ac:dyDescent="0.25">
      <c r="A38" s="112"/>
      <c r="B38" s="113"/>
      <c r="C38" s="113"/>
      <c r="D38" s="113"/>
      <c r="E38" s="113"/>
      <c r="F38" s="114"/>
      <c r="G38" s="119">
        <v>10</v>
      </c>
      <c r="H38" s="119">
        <v>23</v>
      </c>
      <c r="I38" s="115">
        <v>9.2361111111111116E-2</v>
      </c>
      <c r="J38" s="116">
        <v>9.2361111111111116E-2</v>
      </c>
      <c r="K38" s="116">
        <v>9.4444444444444442E-2</v>
      </c>
      <c r="L38" s="116">
        <f t="shared" si="0"/>
        <v>2.0833333333333259E-3</v>
      </c>
      <c r="M38" s="116">
        <v>2.0833333333333333E-3</v>
      </c>
      <c r="N38" s="116">
        <v>9.4444444444444442E-2</v>
      </c>
      <c r="O38" s="113"/>
      <c r="P38" s="117"/>
    </row>
    <row r="39" spans="1:16" x14ac:dyDescent="0.25">
      <c r="A39" s="122">
        <v>5</v>
      </c>
      <c r="B39" s="123">
        <v>45785</v>
      </c>
      <c r="C39" s="124">
        <v>3</v>
      </c>
      <c r="D39" s="124" t="s">
        <v>38</v>
      </c>
      <c r="E39" s="124" t="s">
        <v>28</v>
      </c>
      <c r="F39" s="125" t="s">
        <v>78</v>
      </c>
      <c r="G39" s="126">
        <v>1</v>
      </c>
      <c r="H39" s="126">
        <v>24</v>
      </c>
      <c r="I39" s="125">
        <v>7.013888888888889E-2</v>
      </c>
      <c r="J39" s="127">
        <v>7.013888888888889E-2</v>
      </c>
      <c r="K39" s="127">
        <v>7.2916666666666671E-2</v>
      </c>
      <c r="L39" s="127">
        <f t="shared" si="0"/>
        <v>2.7777777777777818E-3</v>
      </c>
      <c r="M39" s="127">
        <v>2.7777777777777779E-3</v>
      </c>
      <c r="N39" s="127">
        <v>7.2916666666666671E-2</v>
      </c>
      <c r="O39" s="139">
        <v>8</v>
      </c>
      <c r="P39" s="128" t="s">
        <v>76</v>
      </c>
    </row>
    <row r="40" spans="1:16" x14ac:dyDescent="0.25">
      <c r="A40" s="66"/>
      <c r="B40" s="68"/>
      <c r="C40" s="68"/>
      <c r="D40" s="68"/>
      <c r="E40" s="68"/>
      <c r="F40" s="70"/>
      <c r="G40" s="81">
        <v>2</v>
      </c>
      <c r="H40" s="81">
        <v>25</v>
      </c>
      <c r="I40" s="69">
        <v>7.2916666666666671E-2</v>
      </c>
      <c r="J40" s="71">
        <v>7.2916666666666671E-2</v>
      </c>
      <c r="K40" s="71">
        <v>7.4305555555555555E-2</v>
      </c>
      <c r="L40" s="71">
        <f t="shared" si="0"/>
        <v>1.388888888888884E-3</v>
      </c>
      <c r="M40" s="71">
        <v>1.3888888888888889E-3</v>
      </c>
      <c r="N40" s="71">
        <v>7.4305555555555555E-2</v>
      </c>
      <c r="O40" s="68"/>
      <c r="P40" s="73"/>
    </row>
    <row r="41" spans="1:16" x14ac:dyDescent="0.25">
      <c r="A41" s="66"/>
      <c r="B41" s="68"/>
      <c r="C41" s="68"/>
      <c r="D41" s="68"/>
      <c r="E41" s="68"/>
      <c r="F41" s="70"/>
      <c r="G41" s="81">
        <v>3</v>
      </c>
      <c r="H41" s="81">
        <v>26</v>
      </c>
      <c r="I41" s="69">
        <v>7.4999999999999997E-2</v>
      </c>
      <c r="J41" s="71">
        <v>7.4999999999999997E-2</v>
      </c>
      <c r="K41" s="71">
        <v>7.6388888888888895E-2</v>
      </c>
      <c r="L41" s="71">
        <f t="shared" si="0"/>
        <v>1.3888888888888978E-3</v>
      </c>
      <c r="M41" s="71">
        <v>1.3888888888888889E-3</v>
      </c>
      <c r="N41" s="71">
        <v>7.6388888888888895E-2</v>
      </c>
      <c r="O41" s="68"/>
      <c r="P41" s="73"/>
    </row>
    <row r="42" spans="1:16" ht="30" x14ac:dyDescent="0.25">
      <c r="A42" s="66"/>
      <c r="B42" s="129"/>
      <c r="C42" s="68"/>
      <c r="D42" s="68"/>
      <c r="E42" s="68"/>
      <c r="F42" s="70"/>
      <c r="G42" s="81">
        <v>4</v>
      </c>
      <c r="H42" s="81">
        <v>27</v>
      </c>
      <c r="I42" s="130">
        <v>7.9861111111111105E-2</v>
      </c>
      <c r="J42" s="71">
        <v>7.9861111111111105E-2</v>
      </c>
      <c r="K42" s="71">
        <v>8.2638888888888887E-2</v>
      </c>
      <c r="L42" s="71">
        <f t="shared" si="0"/>
        <v>2.7777777777777818E-3</v>
      </c>
      <c r="M42" s="131">
        <v>4.1666666666666666E-3</v>
      </c>
      <c r="N42" s="131">
        <v>9.0277777777777776E-2</v>
      </c>
      <c r="O42" s="72"/>
      <c r="P42" s="120" t="s">
        <v>79</v>
      </c>
    </row>
    <row r="43" spans="1:16" x14ac:dyDescent="0.25">
      <c r="A43" s="66"/>
      <c r="B43" s="129"/>
      <c r="C43" s="68"/>
      <c r="D43" s="68"/>
      <c r="E43" s="68"/>
      <c r="F43" s="70"/>
      <c r="G43" s="81"/>
      <c r="H43" s="81"/>
      <c r="I43" s="69">
        <v>8.8888888888888892E-2</v>
      </c>
      <c r="J43" s="71">
        <v>8.8888888888888892E-2</v>
      </c>
      <c r="K43" s="71">
        <v>9.0277777777777776E-2</v>
      </c>
      <c r="L43" s="71">
        <f t="shared" si="0"/>
        <v>1.388888888888884E-3</v>
      </c>
      <c r="M43" s="131"/>
      <c r="N43" s="131"/>
      <c r="O43" s="72"/>
      <c r="P43" s="73"/>
    </row>
    <row r="44" spans="1:16" x14ac:dyDescent="0.25">
      <c r="A44" s="66"/>
      <c r="B44" s="129"/>
      <c r="C44" s="68"/>
      <c r="D44" s="68"/>
      <c r="E44" s="68"/>
      <c r="F44" s="70"/>
      <c r="G44" s="81">
        <v>5</v>
      </c>
      <c r="H44" s="81">
        <v>28</v>
      </c>
      <c r="I44" s="69">
        <v>9.375E-2</v>
      </c>
      <c r="J44" s="71">
        <v>9.375E-2</v>
      </c>
      <c r="K44" s="71">
        <v>9.5138888888888884E-2</v>
      </c>
      <c r="L44" s="71">
        <f t="shared" si="0"/>
        <v>1.388888888888884E-3</v>
      </c>
      <c r="M44" s="71">
        <v>1.3888888888888889E-3</v>
      </c>
      <c r="N44" s="71">
        <v>9.5138888888888884E-2</v>
      </c>
      <c r="O44" s="72"/>
      <c r="P44" s="121" t="s">
        <v>80</v>
      </c>
    </row>
    <row r="45" spans="1:16" x14ac:dyDescent="0.25">
      <c r="A45" s="66"/>
      <c r="B45" s="68"/>
      <c r="C45" s="68"/>
      <c r="D45" s="68"/>
      <c r="E45" s="68"/>
      <c r="F45" s="70"/>
      <c r="G45" s="81">
        <v>6</v>
      </c>
      <c r="H45" s="81">
        <v>29</v>
      </c>
      <c r="I45" s="69">
        <v>9.5138888888888884E-2</v>
      </c>
      <c r="J45" s="71">
        <v>9.5138888888888884E-2</v>
      </c>
      <c r="K45" s="71">
        <v>9.8611111111111108E-2</v>
      </c>
      <c r="L45" s="71">
        <f t="shared" si="0"/>
        <v>3.4722222222222238E-3</v>
      </c>
      <c r="M45" s="71">
        <v>3.472222222222222E-3</v>
      </c>
      <c r="N45" s="71">
        <v>9.8611111111111108E-2</v>
      </c>
      <c r="O45" s="68"/>
      <c r="P45" s="73"/>
    </row>
    <row r="46" spans="1:16" x14ac:dyDescent="0.25">
      <c r="A46" s="66"/>
      <c r="B46" s="68"/>
      <c r="C46" s="68"/>
      <c r="D46" s="68"/>
      <c r="E46" s="68"/>
      <c r="F46" s="70"/>
      <c r="G46" s="81">
        <v>7</v>
      </c>
      <c r="H46" s="81">
        <v>30</v>
      </c>
      <c r="I46" s="69">
        <v>0.11041666666666666</v>
      </c>
      <c r="J46" s="71">
        <v>0.11041666666666666</v>
      </c>
      <c r="K46" s="71">
        <v>0.1125</v>
      </c>
      <c r="L46" s="71">
        <f t="shared" si="0"/>
        <v>2.0833333333333398E-3</v>
      </c>
      <c r="M46" s="71">
        <v>2.0833333333333333E-3</v>
      </c>
      <c r="N46" s="71">
        <v>0.1125</v>
      </c>
      <c r="O46" s="68"/>
      <c r="P46" s="73"/>
    </row>
    <row r="47" spans="1:16" x14ac:dyDescent="0.25">
      <c r="A47" s="132"/>
      <c r="B47" s="133"/>
      <c r="C47" s="133"/>
      <c r="D47" s="133"/>
      <c r="E47" s="133"/>
      <c r="F47" s="134"/>
      <c r="G47" s="135">
        <v>8</v>
      </c>
      <c r="H47" s="135">
        <v>31</v>
      </c>
      <c r="I47" s="136">
        <v>0.11319444444444444</v>
      </c>
      <c r="J47" s="137">
        <v>0.11319444444444444</v>
      </c>
      <c r="K47" s="137">
        <v>0.11666666666666667</v>
      </c>
      <c r="L47" s="137">
        <f t="shared" si="0"/>
        <v>3.4722222222222238E-3</v>
      </c>
      <c r="M47" s="137">
        <v>3.472222222222222E-3</v>
      </c>
      <c r="N47" s="137">
        <v>0.11666666666666667</v>
      </c>
      <c r="O47" s="133"/>
      <c r="P47" s="138"/>
    </row>
    <row r="48" spans="1:16" x14ac:dyDescent="0.25">
      <c r="A48" s="140">
        <v>6</v>
      </c>
      <c r="B48" s="141">
        <v>45789</v>
      </c>
      <c r="C48" s="142">
        <v>25</v>
      </c>
      <c r="D48" s="142" t="s">
        <v>27</v>
      </c>
      <c r="E48" s="142" t="s">
        <v>28</v>
      </c>
      <c r="F48" s="143" t="s">
        <v>81</v>
      </c>
      <c r="G48" s="179">
        <v>1</v>
      </c>
      <c r="H48" s="179">
        <v>32</v>
      </c>
      <c r="I48" s="143">
        <v>0.41805555555555557</v>
      </c>
      <c r="J48" s="144">
        <v>0.41805555555555557</v>
      </c>
      <c r="K48" s="144">
        <v>0.41875000000000001</v>
      </c>
      <c r="L48" s="144">
        <f t="shared" si="0"/>
        <v>6.9444444444444198E-4</v>
      </c>
      <c r="M48" s="144">
        <v>6.9444444444444447E-4</v>
      </c>
      <c r="N48" s="144">
        <v>0.41875000000000001</v>
      </c>
      <c r="O48" s="180">
        <v>1</v>
      </c>
      <c r="P48" s="145" t="s">
        <v>44</v>
      </c>
    </row>
    <row r="49" spans="1:19" x14ac:dyDescent="0.25">
      <c r="A49" s="14"/>
      <c r="B49" s="86"/>
      <c r="C49" s="86"/>
      <c r="D49" s="86"/>
      <c r="E49" s="86"/>
      <c r="F49" s="87"/>
      <c r="G49" s="87"/>
      <c r="H49" s="87"/>
      <c r="I49" s="87"/>
      <c r="J49" s="89"/>
      <c r="K49" s="89"/>
      <c r="L49" s="89">
        <f t="shared" si="0"/>
        <v>0</v>
      </c>
      <c r="M49" s="86"/>
      <c r="N49" s="86"/>
      <c r="O49" s="86"/>
      <c r="P49" s="92" t="s">
        <v>82</v>
      </c>
    </row>
    <row r="50" spans="1:19" x14ac:dyDescent="0.25">
      <c r="A50" s="146"/>
      <c r="B50" s="147"/>
      <c r="C50" s="147"/>
      <c r="D50" s="147"/>
      <c r="E50" s="147"/>
      <c r="F50" s="148"/>
      <c r="G50" s="148"/>
      <c r="H50" s="148"/>
      <c r="I50" s="148"/>
      <c r="J50" s="149"/>
      <c r="K50" s="149"/>
      <c r="L50" s="149">
        <f t="shared" si="0"/>
        <v>0</v>
      </c>
      <c r="M50" s="147"/>
      <c r="N50" s="147"/>
      <c r="O50" s="147"/>
      <c r="P50" s="150" t="s">
        <v>83</v>
      </c>
    </row>
    <row r="51" spans="1:19" x14ac:dyDescent="0.25">
      <c r="A51" s="162">
        <v>7</v>
      </c>
      <c r="B51" s="163">
        <v>45789</v>
      </c>
      <c r="C51" s="164">
        <v>1</v>
      </c>
      <c r="D51" s="164" t="s">
        <v>27</v>
      </c>
      <c r="E51" s="164" t="s">
        <v>39</v>
      </c>
      <c r="F51" s="165" t="s">
        <v>84</v>
      </c>
      <c r="G51" s="177">
        <v>1</v>
      </c>
      <c r="H51" s="177">
        <v>33</v>
      </c>
      <c r="I51" s="165">
        <v>0.48125000000000001</v>
      </c>
      <c r="J51" s="166">
        <v>0.48125000000000001</v>
      </c>
      <c r="K51" s="166">
        <v>0.48194444444444445</v>
      </c>
      <c r="L51" s="166">
        <f t="shared" si="0"/>
        <v>6.9444444444444198E-4</v>
      </c>
      <c r="M51" s="166">
        <v>6.9444444444444447E-4</v>
      </c>
      <c r="N51" s="166">
        <v>0.48194444444444445</v>
      </c>
      <c r="O51" s="167">
        <v>6</v>
      </c>
      <c r="P51" s="168" t="s">
        <v>85</v>
      </c>
    </row>
    <row r="52" spans="1:19" x14ac:dyDescent="0.25">
      <c r="A52" s="49"/>
      <c r="B52" s="52"/>
      <c r="C52" s="52"/>
      <c r="D52" s="52"/>
      <c r="E52" s="52"/>
      <c r="F52" s="53"/>
      <c r="G52" s="63">
        <v>2</v>
      </c>
      <c r="H52" s="63">
        <v>34</v>
      </c>
      <c r="I52" s="54">
        <v>0.4826388888888889</v>
      </c>
      <c r="J52" s="55">
        <v>0.4826388888888889</v>
      </c>
      <c r="K52" s="55">
        <v>0.48402777777777778</v>
      </c>
      <c r="L52" s="55">
        <f t="shared" si="0"/>
        <v>1.388888888888884E-3</v>
      </c>
      <c r="M52" s="55">
        <v>1.3888888888888889E-3</v>
      </c>
      <c r="N52" s="55">
        <v>0.48402777777777778</v>
      </c>
      <c r="O52" s="52"/>
      <c r="P52" s="175" t="s">
        <v>86</v>
      </c>
    </row>
    <row r="53" spans="1:19" x14ac:dyDescent="0.25">
      <c r="A53" s="49"/>
      <c r="B53" s="52"/>
      <c r="C53" s="52"/>
      <c r="D53" s="52"/>
      <c r="E53" s="52"/>
      <c r="F53" s="53"/>
      <c r="G53" s="63">
        <v>3</v>
      </c>
      <c r="H53" s="63">
        <v>35</v>
      </c>
      <c r="I53" s="54">
        <v>0.48541666666666666</v>
      </c>
      <c r="J53" s="55">
        <v>0.48541666666666666</v>
      </c>
      <c r="K53" s="55">
        <v>0.48819444444444443</v>
      </c>
      <c r="L53" s="55">
        <f t="shared" si="0"/>
        <v>2.7777777777777679E-3</v>
      </c>
      <c r="M53" s="55">
        <v>2.7777777777777779E-3</v>
      </c>
      <c r="N53" s="55">
        <v>0.48819444444444443</v>
      </c>
      <c r="O53" s="52"/>
      <c r="P53" s="50"/>
    </row>
    <row r="54" spans="1:19" x14ac:dyDescent="0.25">
      <c r="A54" s="49"/>
      <c r="B54" s="52"/>
      <c r="C54" s="52"/>
      <c r="D54" s="52"/>
      <c r="E54" s="52"/>
      <c r="F54" s="53"/>
      <c r="G54" s="63">
        <v>4</v>
      </c>
      <c r="H54" s="63">
        <v>36</v>
      </c>
      <c r="I54" s="54">
        <v>0.48958333333333331</v>
      </c>
      <c r="J54" s="55">
        <v>0.48958333333333331</v>
      </c>
      <c r="K54" s="55">
        <v>0.49027777777777776</v>
      </c>
      <c r="L54" s="55">
        <f t="shared" si="0"/>
        <v>6.9444444444444198E-4</v>
      </c>
      <c r="M54" s="55">
        <v>6.9444444444444447E-4</v>
      </c>
      <c r="N54" s="55">
        <v>0.49027777777777776</v>
      </c>
      <c r="O54" s="52"/>
      <c r="P54" s="50"/>
    </row>
    <row r="55" spans="1:19" x14ac:dyDescent="0.25">
      <c r="A55" s="49"/>
      <c r="B55" s="52"/>
      <c r="C55" s="52"/>
      <c r="D55" s="52"/>
      <c r="E55" s="52"/>
      <c r="F55" s="53"/>
      <c r="G55" s="63">
        <v>5</v>
      </c>
      <c r="H55" s="63">
        <v>37</v>
      </c>
      <c r="I55" s="54">
        <v>0.49027777777777776</v>
      </c>
      <c r="J55" s="55">
        <v>0.49027777777777776</v>
      </c>
      <c r="K55" s="55">
        <v>0.49236111111111114</v>
      </c>
      <c r="L55" s="55">
        <f t="shared" si="0"/>
        <v>2.0833333333333814E-3</v>
      </c>
      <c r="M55" s="55">
        <v>2.0833333333333333E-3</v>
      </c>
      <c r="N55" s="55">
        <v>0.49236111111111114</v>
      </c>
      <c r="O55" s="52"/>
      <c r="P55" s="50" t="s">
        <v>87</v>
      </c>
    </row>
    <row r="56" spans="1:19" x14ac:dyDescent="0.25">
      <c r="A56" s="169"/>
      <c r="B56" s="170"/>
      <c r="C56" s="170"/>
      <c r="D56" s="170"/>
      <c r="E56" s="170"/>
      <c r="F56" s="171"/>
      <c r="G56" s="178">
        <v>6</v>
      </c>
      <c r="H56" s="178">
        <v>38</v>
      </c>
      <c r="I56" s="172">
        <v>0.49583333333333335</v>
      </c>
      <c r="J56" s="173">
        <v>0.49583333333333335</v>
      </c>
      <c r="K56" s="173">
        <v>0.49791666666666667</v>
      </c>
      <c r="L56" s="173">
        <f t="shared" si="0"/>
        <v>2.0833333333333259E-3</v>
      </c>
      <c r="M56" s="173">
        <v>2.0833333333333333E-3</v>
      </c>
      <c r="N56" s="173">
        <v>0.49791666666666667</v>
      </c>
      <c r="O56" s="170"/>
      <c r="P56" s="174" t="s">
        <v>88</v>
      </c>
    </row>
    <row r="57" spans="1:19" ht="30" x14ac:dyDescent="0.25">
      <c r="A57" s="151">
        <v>8</v>
      </c>
      <c r="B57" s="152">
        <v>45789</v>
      </c>
      <c r="C57" s="153">
        <v>25</v>
      </c>
      <c r="D57" s="153" t="s">
        <v>27</v>
      </c>
      <c r="E57" s="153" t="s">
        <v>28</v>
      </c>
      <c r="F57" s="154" t="s">
        <v>89</v>
      </c>
      <c r="G57" s="176">
        <v>1</v>
      </c>
      <c r="H57" s="176">
        <v>39</v>
      </c>
      <c r="I57" s="154">
        <v>8.4722222222222227E-2</v>
      </c>
      <c r="J57" s="155">
        <v>8.4722222222222227E-2</v>
      </c>
      <c r="K57" s="155">
        <v>8.9583333333333334E-2</v>
      </c>
      <c r="L57" s="155">
        <f t="shared" si="0"/>
        <v>4.8611111111111077E-3</v>
      </c>
      <c r="M57" s="155">
        <v>4.1666666666666666E-3</v>
      </c>
      <c r="N57" s="155">
        <v>8.9583333333333334E-2</v>
      </c>
      <c r="O57" s="161">
        <v>2</v>
      </c>
      <c r="P57" s="181" t="s">
        <v>90</v>
      </c>
    </row>
    <row r="58" spans="1:19" x14ac:dyDescent="0.25">
      <c r="A58" s="156"/>
      <c r="B58" s="157"/>
      <c r="C58" s="157"/>
      <c r="D58" s="157"/>
      <c r="E58" s="157"/>
      <c r="F58" s="158"/>
      <c r="G58" s="182">
        <v>2</v>
      </c>
      <c r="H58" s="182">
        <v>40</v>
      </c>
      <c r="I58" s="183">
        <v>9.0277777777777776E-2</v>
      </c>
      <c r="J58" s="159">
        <v>9.0277777777777776E-2</v>
      </c>
      <c r="K58" s="159">
        <v>9.0972222222222218E-2</v>
      </c>
      <c r="L58" s="159">
        <f t="shared" si="0"/>
        <v>6.9444444444444198E-4</v>
      </c>
      <c r="M58" s="159">
        <v>6.9444444444444447E-4</v>
      </c>
      <c r="N58" s="159">
        <v>9.0972222222222218E-2</v>
      </c>
      <c r="O58" s="157"/>
      <c r="P58" s="160" t="s">
        <v>91</v>
      </c>
    </row>
    <row r="59" spans="1:19" ht="30" x14ac:dyDescent="0.25">
      <c r="A59" s="66">
        <v>9</v>
      </c>
      <c r="B59" s="129">
        <v>45792</v>
      </c>
      <c r="C59" s="68">
        <v>4</v>
      </c>
      <c r="D59" s="68" t="s">
        <v>27</v>
      </c>
      <c r="E59" s="68" t="s">
        <v>39</v>
      </c>
      <c r="F59" s="69" t="s">
        <v>47</v>
      </c>
      <c r="G59" s="81">
        <v>1</v>
      </c>
      <c r="H59" s="81">
        <v>41</v>
      </c>
      <c r="I59" s="69">
        <v>7.0833333333333331E-2</v>
      </c>
      <c r="J59" s="71">
        <v>7.0833333333333331E-2</v>
      </c>
      <c r="K59" s="71">
        <v>7.2222222222222215E-2</v>
      </c>
      <c r="L59" s="71">
        <f t="shared" si="0"/>
        <v>1.388888888888884E-3</v>
      </c>
      <c r="M59" s="71">
        <v>1.3888888888888889E-3</v>
      </c>
      <c r="N59" s="71">
        <v>7.2222222222222215E-2</v>
      </c>
      <c r="O59" s="72">
        <v>8</v>
      </c>
      <c r="P59" s="120" t="s">
        <v>92</v>
      </c>
      <c r="S59" s="189"/>
    </row>
    <row r="60" spans="1:19" ht="30" x14ac:dyDescent="0.25">
      <c r="A60" s="66"/>
      <c r="B60" s="129"/>
      <c r="C60" s="68"/>
      <c r="D60" s="68"/>
      <c r="E60" s="68"/>
      <c r="F60" s="70"/>
      <c r="G60" s="81">
        <v>2</v>
      </c>
      <c r="H60" s="81">
        <v>42</v>
      </c>
      <c r="I60" s="69">
        <v>7.2916666666666671E-2</v>
      </c>
      <c r="J60" s="71">
        <v>7.2916666666666671E-2</v>
      </c>
      <c r="K60" s="71">
        <v>7.5694444444444439E-2</v>
      </c>
      <c r="L60" s="71">
        <f t="shared" si="0"/>
        <v>2.7777777777777679E-3</v>
      </c>
      <c r="M60" s="71">
        <v>2.7777777777777779E-3</v>
      </c>
      <c r="N60" s="71">
        <v>7.5694444444444439E-2</v>
      </c>
      <c r="O60" s="72"/>
      <c r="P60" s="120" t="s">
        <v>93</v>
      </c>
    </row>
    <row r="61" spans="1:19" x14ac:dyDescent="0.25">
      <c r="A61" s="66"/>
      <c r="B61" s="68"/>
      <c r="C61" s="68"/>
      <c r="D61" s="68"/>
      <c r="E61" s="68"/>
      <c r="F61" s="70"/>
      <c r="G61" s="81">
        <v>3</v>
      </c>
      <c r="H61" s="81">
        <v>43</v>
      </c>
      <c r="I61" s="69">
        <v>9.6527777777777782E-2</v>
      </c>
      <c r="J61" s="71">
        <v>9.6527777777777782E-2</v>
      </c>
      <c r="K61" s="71">
        <v>9.7916666666666666E-2</v>
      </c>
      <c r="L61" s="71">
        <f t="shared" si="0"/>
        <v>1.388888888888884E-3</v>
      </c>
      <c r="M61" s="71">
        <v>1.3888888888888889E-3</v>
      </c>
      <c r="N61" s="71">
        <v>9.7916666666666666E-2</v>
      </c>
      <c r="O61" s="68"/>
      <c r="P61" s="73"/>
    </row>
    <row r="62" spans="1:19" x14ac:dyDescent="0.25">
      <c r="A62" s="66"/>
      <c r="B62" s="68"/>
      <c r="C62" s="68"/>
      <c r="D62" s="68"/>
      <c r="E62" s="68"/>
      <c r="F62" s="70"/>
      <c r="G62" s="81">
        <v>4</v>
      </c>
      <c r="H62" s="81">
        <v>44</v>
      </c>
      <c r="I62" s="69">
        <v>9.7916666666666666E-2</v>
      </c>
      <c r="J62" s="71">
        <v>9.7916666666666666E-2</v>
      </c>
      <c r="K62" s="71">
        <v>0.1</v>
      </c>
      <c r="L62" s="71">
        <f t="shared" si="0"/>
        <v>2.0833333333333398E-3</v>
      </c>
      <c r="M62" s="71">
        <v>2.0833333333333333E-3</v>
      </c>
      <c r="N62" s="71">
        <v>0.1</v>
      </c>
      <c r="O62" s="68"/>
      <c r="P62" s="73"/>
    </row>
    <row r="63" spans="1:19" x14ac:dyDescent="0.25">
      <c r="A63" s="66"/>
      <c r="B63" s="68"/>
      <c r="C63" s="68"/>
      <c r="D63" s="68"/>
      <c r="E63" s="68"/>
      <c r="F63" s="70"/>
      <c r="G63" s="81">
        <v>5</v>
      </c>
      <c r="H63" s="81">
        <v>45</v>
      </c>
      <c r="I63" s="69">
        <v>0.10208333333333333</v>
      </c>
      <c r="J63" s="71">
        <v>0.10208333333333333</v>
      </c>
      <c r="K63" s="71">
        <v>0.10347222222222222</v>
      </c>
      <c r="L63" s="71">
        <f t="shared" si="0"/>
        <v>1.388888888888884E-3</v>
      </c>
      <c r="M63" s="71">
        <v>1.3888888888888889E-3</v>
      </c>
      <c r="N63" s="71">
        <v>0.10347222222222222</v>
      </c>
      <c r="O63" s="68"/>
      <c r="P63" s="73"/>
    </row>
    <row r="64" spans="1:19" x14ac:dyDescent="0.25">
      <c r="A64" s="66"/>
      <c r="B64" s="68"/>
      <c r="C64" s="68"/>
      <c r="D64" s="68"/>
      <c r="E64" s="68"/>
      <c r="F64" s="70"/>
      <c r="G64" s="81">
        <v>6</v>
      </c>
      <c r="H64" s="81">
        <v>46</v>
      </c>
      <c r="I64" s="69">
        <v>0.10347222222222222</v>
      </c>
      <c r="J64" s="71">
        <v>0.10347222222222222</v>
      </c>
      <c r="K64" s="71">
        <v>0.10416666666666667</v>
      </c>
      <c r="L64" s="71">
        <v>6.9444444444444447E-4</v>
      </c>
      <c r="M64" s="71">
        <v>6.9444444444444447E-4</v>
      </c>
      <c r="N64" s="71">
        <v>0.10416666666666667</v>
      </c>
      <c r="O64" s="68"/>
      <c r="P64" s="73"/>
    </row>
    <row r="65" spans="1:16" x14ac:dyDescent="0.25">
      <c r="A65" s="66"/>
      <c r="B65" s="68"/>
      <c r="C65" s="68"/>
      <c r="D65" s="68"/>
      <c r="E65" s="68"/>
      <c r="F65" s="70"/>
      <c r="G65" s="81">
        <v>7</v>
      </c>
      <c r="H65" s="81">
        <v>47</v>
      </c>
      <c r="I65" s="69">
        <v>0.10416666666666667</v>
      </c>
      <c r="J65" s="71">
        <v>0.10416666666666667</v>
      </c>
      <c r="K65" s="71">
        <v>0.10555555555555556</v>
      </c>
      <c r="L65" s="71">
        <f t="shared" si="0"/>
        <v>1.388888888888884E-3</v>
      </c>
      <c r="M65" s="71">
        <v>1.3888888888888889E-3</v>
      </c>
      <c r="N65" s="71">
        <v>0.10555555555555556</v>
      </c>
      <c r="O65" s="68"/>
      <c r="P65" s="73"/>
    </row>
    <row r="66" spans="1:16" x14ac:dyDescent="0.25">
      <c r="A66" s="74"/>
      <c r="B66" s="76"/>
      <c r="C66" s="76"/>
      <c r="D66" s="76"/>
      <c r="E66" s="76"/>
      <c r="F66" s="77"/>
      <c r="G66" s="82">
        <v>8</v>
      </c>
      <c r="H66" s="82">
        <v>48</v>
      </c>
      <c r="I66" s="78">
        <v>0.10902777777777778</v>
      </c>
      <c r="J66" s="78">
        <v>0.10902777777777778</v>
      </c>
      <c r="K66" s="79">
        <v>0.10972222222222222</v>
      </c>
      <c r="L66" s="79">
        <v>6.9444444444444447E-4</v>
      </c>
      <c r="M66" s="79">
        <v>6.9444444444444447E-4</v>
      </c>
      <c r="N66" s="79">
        <v>0.10972222222222222</v>
      </c>
      <c r="O66" s="76"/>
      <c r="P66" s="80"/>
    </row>
    <row r="67" spans="1:16" x14ac:dyDescent="0.25">
      <c r="A67" s="191">
        <v>10</v>
      </c>
      <c r="B67" s="225">
        <v>46133</v>
      </c>
      <c r="C67" s="199">
        <v>13</v>
      </c>
      <c r="D67" s="192" t="s">
        <v>38</v>
      </c>
      <c r="E67" s="340" t="s">
        <v>94</v>
      </c>
      <c r="F67" s="201" t="s">
        <v>95</v>
      </c>
      <c r="G67" s="194">
        <v>1</v>
      </c>
      <c r="H67" s="194">
        <v>49</v>
      </c>
      <c r="I67" s="195">
        <v>0.43263888888888891</v>
      </c>
      <c r="J67" s="190">
        <v>0.43263888888888891</v>
      </c>
      <c r="K67" s="190">
        <v>0.43472222222222223</v>
      </c>
      <c r="L67" s="190">
        <f>K67-J67</f>
        <v>2.0833333333333259E-3</v>
      </c>
      <c r="M67" s="190">
        <f>K67-J67</f>
        <v>2.0833333333333259E-3</v>
      </c>
      <c r="N67" s="190">
        <v>0.43472222222222223</v>
      </c>
      <c r="O67" s="198">
        <v>6</v>
      </c>
      <c r="P67" s="196" t="s">
        <v>96</v>
      </c>
    </row>
    <row r="68" spans="1:16" x14ac:dyDescent="0.25">
      <c r="A68" s="191"/>
      <c r="B68" s="197"/>
      <c r="C68" s="192"/>
      <c r="D68" s="192"/>
      <c r="E68" s="192"/>
      <c r="F68" s="193"/>
      <c r="G68" s="194">
        <v>2</v>
      </c>
      <c r="H68" s="194">
        <v>50</v>
      </c>
      <c r="I68" s="195">
        <v>0.4375</v>
      </c>
      <c r="J68" s="195">
        <v>0.4375</v>
      </c>
      <c r="K68" s="190">
        <v>0.43958333333333333</v>
      </c>
      <c r="L68" s="190">
        <f>K68-J68</f>
        <v>2.0833333333333259E-3</v>
      </c>
      <c r="M68" s="190">
        <f t="shared" ref="M68:M70" si="1">K68-J68</f>
        <v>2.0833333333333259E-3</v>
      </c>
      <c r="N68" s="190">
        <v>0.43958333333333333</v>
      </c>
      <c r="O68" s="198"/>
      <c r="P68" s="371" t="s">
        <v>97</v>
      </c>
    </row>
    <row r="69" spans="1:16" x14ac:dyDescent="0.25">
      <c r="A69" s="191"/>
      <c r="B69" s="192"/>
      <c r="C69" s="192"/>
      <c r="D69" s="192"/>
      <c r="E69" s="192"/>
      <c r="F69" s="193"/>
      <c r="G69" s="194">
        <v>3</v>
      </c>
      <c r="H69" s="194">
        <v>51</v>
      </c>
      <c r="I69" s="195">
        <v>0.44236111111111109</v>
      </c>
      <c r="J69" s="190">
        <v>0.44236111111111109</v>
      </c>
      <c r="K69" s="190">
        <v>0.44513888888888886</v>
      </c>
      <c r="L69" s="190">
        <f>K69-J69</f>
        <v>2.7777777777777679E-3</v>
      </c>
      <c r="M69" s="190">
        <f t="shared" si="1"/>
        <v>2.7777777777777679E-3</v>
      </c>
      <c r="N69" s="190">
        <v>0.44513888888888886</v>
      </c>
      <c r="O69" s="192"/>
      <c r="P69" s="372"/>
    </row>
    <row r="70" spans="1:16" x14ac:dyDescent="0.25">
      <c r="A70" s="191"/>
      <c r="B70" s="192"/>
      <c r="C70" s="192"/>
      <c r="D70" s="192"/>
      <c r="E70" s="192"/>
      <c r="F70" s="193"/>
      <c r="G70" s="194">
        <v>4</v>
      </c>
      <c r="H70" s="194">
        <v>52</v>
      </c>
      <c r="I70" s="195">
        <v>0.44861111111111113</v>
      </c>
      <c r="J70" s="190">
        <v>0.44861111111111113</v>
      </c>
      <c r="K70" s="190">
        <v>0.45</v>
      </c>
      <c r="L70" s="190">
        <f t="shared" ref="L70:L126" si="2">K70-J70</f>
        <v>1.388888888888884E-3</v>
      </c>
      <c r="M70" s="190">
        <f t="shared" si="1"/>
        <v>1.388888888888884E-3</v>
      </c>
      <c r="N70" s="190">
        <v>0.45</v>
      </c>
      <c r="O70" s="192"/>
      <c r="P70" s="372"/>
    </row>
    <row r="71" spans="1:16" x14ac:dyDescent="0.25">
      <c r="A71" s="191"/>
      <c r="B71" s="192"/>
      <c r="C71" s="192"/>
      <c r="D71" s="192"/>
      <c r="E71" s="192"/>
      <c r="F71" s="193"/>
      <c r="G71" s="194">
        <v>5</v>
      </c>
      <c r="H71" s="194">
        <v>53</v>
      </c>
      <c r="I71" s="195">
        <v>0.46666666666666667</v>
      </c>
      <c r="J71" s="190">
        <v>0.46666666666666667</v>
      </c>
      <c r="K71" s="190">
        <v>0.46736111111111112</v>
      </c>
      <c r="L71" s="190">
        <f t="shared" si="2"/>
        <v>6.9444444444444198E-4</v>
      </c>
      <c r="M71" s="190">
        <f>SUM(L71:L72)</f>
        <v>2.7777777777777679E-3</v>
      </c>
      <c r="N71" s="190">
        <v>0.47083333333333333</v>
      </c>
      <c r="O71" s="192"/>
      <c r="P71" s="372"/>
    </row>
    <row r="72" spans="1:16" x14ac:dyDescent="0.25">
      <c r="A72" s="191"/>
      <c r="B72" s="192"/>
      <c r="C72" s="192"/>
      <c r="D72" s="192"/>
      <c r="E72" s="192"/>
      <c r="F72" s="193"/>
      <c r="G72" s="194"/>
      <c r="H72" s="194"/>
      <c r="I72" s="195"/>
      <c r="J72" s="190">
        <v>0.46875</v>
      </c>
      <c r="K72" s="190">
        <v>0.47083333333333333</v>
      </c>
      <c r="L72" s="190">
        <f>K72-J72</f>
        <v>2.0833333333333259E-3</v>
      </c>
      <c r="M72" s="190"/>
      <c r="N72" s="192"/>
      <c r="O72" s="192"/>
      <c r="P72" s="372"/>
    </row>
    <row r="73" spans="1:16" x14ac:dyDescent="0.25">
      <c r="A73" s="191"/>
      <c r="B73" s="192"/>
      <c r="C73" s="192"/>
      <c r="D73" s="192"/>
      <c r="E73" s="192"/>
      <c r="F73" s="193"/>
      <c r="G73" s="194">
        <v>6</v>
      </c>
      <c r="H73" s="194">
        <v>54</v>
      </c>
      <c r="I73" s="195">
        <v>0.48888888888888887</v>
      </c>
      <c r="J73" s="190">
        <v>0.48888888888888887</v>
      </c>
      <c r="K73" s="190">
        <v>0.48958333333333331</v>
      </c>
      <c r="L73" s="190">
        <f t="shared" si="2"/>
        <v>6.9444444444444198E-4</v>
      </c>
      <c r="M73" s="190">
        <f>K73-J73</f>
        <v>6.9444444444444198E-4</v>
      </c>
      <c r="N73" s="190">
        <v>0.48958333333333331</v>
      </c>
      <c r="O73" s="192"/>
      <c r="P73" s="196"/>
    </row>
    <row r="74" spans="1:16" x14ac:dyDescent="0.25">
      <c r="A74" s="202">
        <v>11</v>
      </c>
      <c r="B74" s="203">
        <v>46133</v>
      </c>
      <c r="C74" s="204">
        <v>11</v>
      </c>
      <c r="D74" s="205" t="s">
        <v>38</v>
      </c>
      <c r="E74" s="205" t="s">
        <v>28</v>
      </c>
      <c r="F74" s="206" t="s">
        <v>98</v>
      </c>
      <c r="G74" s="207">
        <v>1</v>
      </c>
      <c r="H74" s="207">
        <v>55</v>
      </c>
      <c r="I74" s="206">
        <v>8.611111111111111E-2</v>
      </c>
      <c r="J74" s="208">
        <v>8.611111111111111E-2</v>
      </c>
      <c r="K74" s="208">
        <v>8.6805555555555552E-2</v>
      </c>
      <c r="L74" s="208">
        <f>K74-J74</f>
        <v>6.9444444444444198E-4</v>
      </c>
      <c r="M74" s="208">
        <f>K74-J74</f>
        <v>6.9444444444444198E-4</v>
      </c>
      <c r="N74" s="208">
        <v>8.6805555555555552E-2</v>
      </c>
      <c r="O74" s="209">
        <v>7</v>
      </c>
      <c r="P74" s="210" t="s">
        <v>96</v>
      </c>
    </row>
    <row r="75" spans="1:16" x14ac:dyDescent="0.25">
      <c r="A75" s="202"/>
      <c r="B75" s="205"/>
      <c r="C75" s="205"/>
      <c r="D75" s="205"/>
      <c r="E75" s="205"/>
      <c r="F75" s="211"/>
      <c r="G75" s="207">
        <v>2</v>
      </c>
      <c r="H75" s="207">
        <v>56</v>
      </c>
      <c r="I75" s="206">
        <v>8.8888888888888892E-2</v>
      </c>
      <c r="J75" s="208">
        <v>8.8888888888888892E-2</v>
      </c>
      <c r="K75" s="208">
        <v>8.9583333333333334E-2</v>
      </c>
      <c r="L75" s="208">
        <f t="shared" si="2"/>
        <v>6.9444444444444198E-4</v>
      </c>
      <c r="M75" s="208">
        <f>SUM(L75:L76)</f>
        <v>1.388888888888884E-3</v>
      </c>
      <c r="N75" s="208">
        <v>9.0972222222222218E-2</v>
      </c>
      <c r="O75" s="205"/>
      <c r="P75" s="210" t="s">
        <v>99</v>
      </c>
    </row>
    <row r="76" spans="1:16" ht="60" x14ac:dyDescent="0.25">
      <c r="A76" s="202"/>
      <c r="B76" s="205"/>
      <c r="C76" s="205"/>
      <c r="D76" s="205"/>
      <c r="E76" s="205"/>
      <c r="F76" s="211"/>
      <c r="G76" s="207"/>
      <c r="H76" s="207"/>
      <c r="I76" s="206"/>
      <c r="J76" s="208">
        <v>9.0277777777777776E-2</v>
      </c>
      <c r="K76" s="208">
        <v>9.0972222222222218E-2</v>
      </c>
      <c r="L76" s="208">
        <f t="shared" si="2"/>
        <v>6.9444444444444198E-4</v>
      </c>
      <c r="M76" s="205"/>
      <c r="N76" s="205"/>
      <c r="O76" s="205"/>
      <c r="P76" s="212" t="s">
        <v>100</v>
      </c>
    </row>
    <row r="77" spans="1:16" x14ac:dyDescent="0.25">
      <c r="A77" s="202"/>
      <c r="B77" s="205"/>
      <c r="C77" s="205"/>
      <c r="D77" s="205"/>
      <c r="E77" s="205"/>
      <c r="F77" s="211"/>
      <c r="G77" s="207">
        <v>3</v>
      </c>
      <c r="H77" s="207">
        <v>57</v>
      </c>
      <c r="I77" s="206">
        <v>9.0972222222222218E-2</v>
      </c>
      <c r="J77" s="208">
        <v>9.0972222222222218E-2</v>
      </c>
      <c r="K77" s="208">
        <v>9.166666666666666E-2</v>
      </c>
      <c r="L77" s="208">
        <f>K77-J77</f>
        <v>6.9444444444444198E-4</v>
      </c>
      <c r="M77" s="208">
        <f>K77-J77</f>
        <v>6.9444444444444198E-4</v>
      </c>
      <c r="N77" s="208">
        <v>9.166666666666666E-2</v>
      </c>
      <c r="O77" s="205"/>
      <c r="P77" s="213" t="s">
        <v>101</v>
      </c>
    </row>
    <row r="78" spans="1:16" x14ac:dyDescent="0.25">
      <c r="A78" s="202"/>
      <c r="B78" s="205"/>
      <c r="C78" s="205"/>
      <c r="D78" s="205"/>
      <c r="E78" s="205"/>
      <c r="F78" s="211"/>
      <c r="G78" s="207">
        <v>4</v>
      </c>
      <c r="H78" s="207">
        <v>58</v>
      </c>
      <c r="I78" s="206">
        <v>9.2361111111111116E-2</v>
      </c>
      <c r="J78" s="208">
        <v>9.2361111111111116E-2</v>
      </c>
      <c r="K78" s="208">
        <v>9.375E-2</v>
      </c>
      <c r="L78" s="208">
        <f>K78-J78</f>
        <v>1.388888888888884E-3</v>
      </c>
      <c r="M78" s="208">
        <f>K78-J78</f>
        <v>1.388888888888884E-3</v>
      </c>
      <c r="N78" s="208">
        <v>9.375E-2</v>
      </c>
      <c r="O78" s="205"/>
      <c r="P78" s="210"/>
    </row>
    <row r="79" spans="1:16" x14ac:dyDescent="0.25">
      <c r="A79" s="202"/>
      <c r="B79" s="205"/>
      <c r="C79" s="205"/>
      <c r="D79" s="205"/>
      <c r="E79" s="205"/>
      <c r="F79" s="211"/>
      <c r="G79" s="207">
        <v>5</v>
      </c>
      <c r="H79" s="207">
        <v>59</v>
      </c>
      <c r="I79" s="206">
        <v>9.375E-2</v>
      </c>
      <c r="J79" s="208">
        <v>9.375E-2</v>
      </c>
      <c r="K79" s="208">
        <v>9.583333333333334E-2</v>
      </c>
      <c r="L79" s="208">
        <f>K79-J79</f>
        <v>2.0833333333333398E-3</v>
      </c>
      <c r="M79" s="208">
        <f>K79-J79</f>
        <v>2.0833333333333398E-3</v>
      </c>
      <c r="N79" s="208">
        <v>9.583333333333334E-2</v>
      </c>
      <c r="O79" s="205"/>
      <c r="P79" s="210"/>
    </row>
    <row r="80" spans="1:16" x14ac:dyDescent="0.25">
      <c r="A80" s="202"/>
      <c r="B80" s="205"/>
      <c r="C80" s="205"/>
      <c r="D80" s="205"/>
      <c r="E80" s="205"/>
      <c r="F80" s="211"/>
      <c r="G80" s="207">
        <v>6</v>
      </c>
      <c r="H80" s="207">
        <v>60</v>
      </c>
      <c r="I80" s="206">
        <v>9.6527777777777782E-2</v>
      </c>
      <c r="J80" s="208">
        <v>9.6527777777777782E-2</v>
      </c>
      <c r="K80" s="208">
        <v>9.7916666666666666E-2</v>
      </c>
      <c r="L80" s="208">
        <f t="shared" si="2"/>
        <v>1.388888888888884E-3</v>
      </c>
      <c r="M80" s="208">
        <f>SUM(L80:L81)</f>
        <v>2.7777777777777818E-3</v>
      </c>
      <c r="N80" s="208">
        <v>0.1</v>
      </c>
      <c r="O80" s="205"/>
      <c r="P80" s="210"/>
    </row>
    <row r="81" spans="1:16" x14ac:dyDescent="0.25">
      <c r="A81" s="202"/>
      <c r="B81" s="203"/>
      <c r="C81" s="205"/>
      <c r="D81" s="205"/>
      <c r="E81" s="205"/>
      <c r="F81" s="211"/>
      <c r="G81" s="211"/>
      <c r="H81" s="211"/>
      <c r="I81" s="206"/>
      <c r="J81" s="208">
        <v>9.8611111111111108E-2</v>
      </c>
      <c r="K81" s="208">
        <v>0.1</v>
      </c>
      <c r="L81" s="208">
        <f t="shared" si="2"/>
        <v>1.3888888888888978E-3</v>
      </c>
      <c r="M81" s="208"/>
      <c r="N81" s="208"/>
      <c r="O81" s="209"/>
      <c r="P81" s="210"/>
    </row>
    <row r="82" spans="1:16" x14ac:dyDescent="0.25">
      <c r="A82" s="202"/>
      <c r="B82" s="205"/>
      <c r="C82" s="205"/>
      <c r="D82" s="205"/>
      <c r="E82" s="205"/>
      <c r="F82" s="211"/>
      <c r="G82" s="207">
        <v>7</v>
      </c>
      <c r="H82" s="207">
        <v>61</v>
      </c>
      <c r="I82" s="206">
        <v>0.10069444444444445</v>
      </c>
      <c r="J82" s="208">
        <v>0.10069444444444445</v>
      </c>
      <c r="K82" s="208">
        <v>0.10138888888888889</v>
      </c>
      <c r="L82" s="208">
        <f t="shared" si="2"/>
        <v>6.9444444444444198E-4</v>
      </c>
      <c r="M82" s="324">
        <f>SUM(L82:L83)</f>
        <v>1.041666666666663E-3</v>
      </c>
      <c r="N82" s="208">
        <v>0.10243055555555555</v>
      </c>
      <c r="O82" s="205"/>
      <c r="P82" s="210"/>
    </row>
    <row r="83" spans="1:16" x14ac:dyDescent="0.25">
      <c r="A83" s="202"/>
      <c r="B83" s="203"/>
      <c r="C83" s="205"/>
      <c r="D83" s="205"/>
      <c r="E83" s="205"/>
      <c r="F83" s="211"/>
      <c r="G83" s="211"/>
      <c r="H83" s="211"/>
      <c r="I83" s="206"/>
      <c r="J83" s="323">
        <v>0.10208333333333333</v>
      </c>
      <c r="K83" s="323">
        <v>0.10243055555555555</v>
      </c>
      <c r="L83" s="324">
        <f>K83-J83</f>
        <v>3.4722222222222099E-4</v>
      </c>
      <c r="M83" s="208"/>
      <c r="N83" s="208"/>
      <c r="O83" s="209"/>
      <c r="P83" s="210"/>
    </row>
    <row r="84" spans="1:16" ht="90" x14ac:dyDescent="0.25">
      <c r="A84" s="214">
        <v>12</v>
      </c>
      <c r="B84" s="226">
        <v>46133</v>
      </c>
      <c r="C84" s="215">
        <v>28</v>
      </c>
      <c r="D84" s="216" t="s">
        <v>38</v>
      </c>
      <c r="E84" s="216" t="s">
        <v>28</v>
      </c>
      <c r="F84" s="217" t="s">
        <v>98</v>
      </c>
      <c r="G84" s="218">
        <v>1</v>
      </c>
      <c r="H84" s="218">
        <v>62</v>
      </c>
      <c r="I84" s="217">
        <v>0.12569444444444444</v>
      </c>
      <c r="J84" s="219">
        <v>0.12569444444444444</v>
      </c>
      <c r="K84" s="219">
        <v>0.12708333333333333</v>
      </c>
      <c r="L84" s="219">
        <f t="shared" si="2"/>
        <v>1.388888888888884E-3</v>
      </c>
      <c r="M84" s="219">
        <f>SUM(L84:L87)</f>
        <v>4.1666666666666796E-3</v>
      </c>
      <c r="N84" s="219">
        <v>0.13055555555555556</v>
      </c>
      <c r="O84" s="223">
        <v>3</v>
      </c>
      <c r="P84" s="312" t="s">
        <v>102</v>
      </c>
    </row>
    <row r="85" spans="1:16" x14ac:dyDescent="0.25">
      <c r="A85" s="214"/>
      <c r="B85" s="216"/>
      <c r="C85" s="216"/>
      <c r="D85" s="216"/>
      <c r="E85" s="216"/>
      <c r="F85" s="220"/>
      <c r="G85" s="220"/>
      <c r="H85" s="220"/>
      <c r="I85" s="217"/>
      <c r="J85" s="219">
        <v>0.12708333333333333</v>
      </c>
      <c r="K85" s="219">
        <v>0.12777777777777777</v>
      </c>
      <c r="L85" s="219">
        <f t="shared" si="2"/>
        <v>6.9444444444444198E-4</v>
      </c>
      <c r="M85" s="216"/>
      <c r="N85" s="216"/>
      <c r="O85" s="216"/>
      <c r="P85" s="221"/>
    </row>
    <row r="86" spans="1:16" x14ac:dyDescent="0.25">
      <c r="A86" s="214"/>
      <c r="B86" s="216"/>
      <c r="C86" s="216"/>
      <c r="D86" s="216"/>
      <c r="E86" s="216"/>
      <c r="F86" s="220"/>
      <c r="G86" s="220"/>
      <c r="H86" s="220"/>
      <c r="I86" s="217"/>
      <c r="J86" s="219">
        <v>0.12847222222222221</v>
      </c>
      <c r="K86" s="219">
        <v>0.12916666666666668</v>
      </c>
      <c r="L86" s="219">
        <f t="shared" si="2"/>
        <v>6.9444444444446973E-4</v>
      </c>
      <c r="M86" s="216"/>
      <c r="N86" s="216"/>
      <c r="O86" s="216"/>
      <c r="P86" s="221"/>
    </row>
    <row r="87" spans="1:16" x14ac:dyDescent="0.25">
      <c r="A87" s="214"/>
      <c r="B87" s="216"/>
      <c r="C87" s="216"/>
      <c r="D87" s="216"/>
      <c r="E87" s="216"/>
      <c r="F87" s="220"/>
      <c r="G87" s="220"/>
      <c r="H87" s="220"/>
      <c r="I87" s="220"/>
      <c r="J87" s="219">
        <v>0.12916666666666668</v>
      </c>
      <c r="K87" s="219">
        <v>0.13055555555555556</v>
      </c>
      <c r="L87" s="219">
        <f t="shared" si="2"/>
        <v>1.388888888888884E-3</v>
      </c>
      <c r="M87" s="216"/>
      <c r="N87" s="216"/>
      <c r="O87" s="216"/>
      <c r="P87" s="221"/>
    </row>
    <row r="88" spans="1:16" ht="60" x14ac:dyDescent="0.25">
      <c r="A88" s="214"/>
      <c r="B88" s="216"/>
      <c r="C88" s="216"/>
      <c r="D88" s="216"/>
      <c r="E88" s="216"/>
      <c r="F88" s="220"/>
      <c r="G88" s="218">
        <v>2</v>
      </c>
      <c r="H88" s="218">
        <v>63</v>
      </c>
      <c r="I88" s="217">
        <v>0.13125000000000001</v>
      </c>
      <c r="J88" s="219">
        <v>0.13125000000000001</v>
      </c>
      <c r="K88" s="219">
        <v>0.13194444444444445</v>
      </c>
      <c r="L88" s="219">
        <f t="shared" si="2"/>
        <v>6.9444444444444198E-4</v>
      </c>
      <c r="M88" s="219">
        <f>SUM(L88:L90)</f>
        <v>5.5555555555555358E-3</v>
      </c>
      <c r="N88" s="219">
        <v>0.15138888888888888</v>
      </c>
      <c r="O88" s="216"/>
      <c r="P88" s="312" t="s">
        <v>103</v>
      </c>
    </row>
    <row r="89" spans="1:16" x14ac:dyDescent="0.25">
      <c r="A89" s="214"/>
      <c r="B89" s="216"/>
      <c r="C89" s="216"/>
      <c r="D89" s="216"/>
      <c r="E89" s="216"/>
      <c r="F89" s="220"/>
      <c r="G89" s="220"/>
      <c r="H89" s="220"/>
      <c r="I89" s="220"/>
      <c r="J89" s="219">
        <v>0.14583333333333334</v>
      </c>
      <c r="K89" s="219">
        <v>0.15</v>
      </c>
      <c r="L89" s="219">
        <f t="shared" si="2"/>
        <v>4.1666666666666519E-3</v>
      </c>
      <c r="M89" s="216"/>
      <c r="N89" s="216"/>
      <c r="O89" s="216"/>
      <c r="P89" s="221"/>
    </row>
    <row r="90" spans="1:16" x14ac:dyDescent="0.25">
      <c r="A90" s="214"/>
      <c r="B90" s="216"/>
      <c r="C90" s="216"/>
      <c r="D90" s="216"/>
      <c r="E90" s="216"/>
      <c r="F90" s="220"/>
      <c r="G90" s="220"/>
      <c r="H90" s="220"/>
      <c r="I90" s="220"/>
      <c r="J90" s="219">
        <v>0.15069444444444444</v>
      </c>
      <c r="K90" s="219">
        <v>0.15138888888888888</v>
      </c>
      <c r="L90" s="219">
        <f t="shared" si="2"/>
        <v>6.9444444444444198E-4</v>
      </c>
      <c r="M90" s="216"/>
      <c r="N90" s="216"/>
      <c r="O90" s="216"/>
      <c r="P90" s="221"/>
    </row>
    <row r="91" spans="1:16" x14ac:dyDescent="0.25">
      <c r="A91" s="214"/>
      <c r="B91" s="216"/>
      <c r="C91" s="216"/>
      <c r="D91" s="216"/>
      <c r="E91" s="216"/>
      <c r="F91" s="220"/>
      <c r="G91" s="218">
        <v>3</v>
      </c>
      <c r="H91" s="218">
        <v>64</v>
      </c>
      <c r="I91" s="217">
        <v>0.15277777777777779</v>
      </c>
      <c r="J91" s="219">
        <v>0.15277777777777779</v>
      </c>
      <c r="K91" s="219">
        <v>0.15625</v>
      </c>
      <c r="L91" s="219">
        <f t="shared" si="2"/>
        <v>3.4722222222222099E-3</v>
      </c>
      <c r="M91" s="219">
        <f>SUM(L91:L92)</f>
        <v>4.1666666666666519E-3</v>
      </c>
      <c r="N91" s="219">
        <v>0.16180555555555556</v>
      </c>
      <c r="O91" s="216"/>
      <c r="P91" s="224" t="s">
        <v>104</v>
      </c>
    </row>
    <row r="92" spans="1:16" x14ac:dyDescent="0.25">
      <c r="A92" s="214"/>
      <c r="B92" s="222"/>
      <c r="C92" s="216"/>
      <c r="D92" s="216"/>
      <c r="E92" s="216"/>
      <c r="F92" s="220"/>
      <c r="G92" s="220"/>
      <c r="H92" s="220"/>
      <c r="I92" s="220"/>
      <c r="J92" s="219">
        <v>0.16111111111111112</v>
      </c>
      <c r="K92" s="219">
        <v>0.16180555555555556</v>
      </c>
      <c r="L92" s="219">
        <f t="shared" si="2"/>
        <v>6.9444444444444198E-4</v>
      </c>
      <c r="M92" s="219"/>
      <c r="N92" s="219"/>
      <c r="O92" s="223"/>
      <c r="P92" s="224" t="s">
        <v>105</v>
      </c>
    </row>
    <row r="93" spans="1:16" x14ac:dyDescent="0.25">
      <c r="A93" s="227">
        <v>13</v>
      </c>
      <c r="B93" s="228">
        <v>46134</v>
      </c>
      <c r="C93" s="229">
        <v>4</v>
      </c>
      <c r="D93" s="230" t="s">
        <v>27</v>
      </c>
      <c r="E93" s="230" t="s">
        <v>28</v>
      </c>
      <c r="F93" s="231" t="s">
        <v>59</v>
      </c>
      <c r="G93" s="232">
        <v>1</v>
      </c>
      <c r="H93" s="232">
        <v>65</v>
      </c>
      <c r="I93" s="233">
        <v>0.42777777777777776</v>
      </c>
      <c r="J93" s="234">
        <v>0.42777777777777776</v>
      </c>
      <c r="K93" s="234">
        <v>0.42986111111111114</v>
      </c>
      <c r="L93" s="234">
        <f t="shared" si="2"/>
        <v>2.0833333333333814E-3</v>
      </c>
      <c r="M93" s="234">
        <f>L93</f>
        <v>2.0833333333333814E-3</v>
      </c>
      <c r="N93" s="234">
        <v>0.42986111111111114</v>
      </c>
      <c r="O93" s="237">
        <v>3</v>
      </c>
      <c r="P93" s="235" t="s">
        <v>106</v>
      </c>
    </row>
    <row r="94" spans="1:16" x14ac:dyDescent="0.25">
      <c r="A94" s="227"/>
      <c r="B94" s="236"/>
      <c r="C94" s="230"/>
      <c r="D94" s="230"/>
      <c r="E94" s="230"/>
      <c r="F94" s="231"/>
      <c r="G94" s="232">
        <v>2</v>
      </c>
      <c r="H94" s="232">
        <v>66</v>
      </c>
      <c r="I94" s="233">
        <v>0.43888888888888888</v>
      </c>
      <c r="J94" s="234">
        <v>0.43888888888888888</v>
      </c>
      <c r="K94" s="234">
        <v>0.43958333333333333</v>
      </c>
      <c r="L94" s="234">
        <f t="shared" si="2"/>
        <v>6.9444444444444198E-4</v>
      </c>
      <c r="M94" s="234">
        <f>L94</f>
        <v>6.9444444444444198E-4</v>
      </c>
      <c r="N94" s="234">
        <v>0.43958333333333333</v>
      </c>
      <c r="O94" s="237"/>
      <c r="P94" s="235" t="s">
        <v>107</v>
      </c>
    </row>
    <row r="95" spans="1:16" x14ac:dyDescent="0.25">
      <c r="A95" s="227"/>
      <c r="B95" s="230"/>
      <c r="C95" s="230"/>
      <c r="D95" s="230"/>
      <c r="E95" s="230"/>
      <c r="F95" s="231"/>
      <c r="G95" s="232">
        <v>3</v>
      </c>
      <c r="H95" s="232">
        <v>67</v>
      </c>
      <c r="I95" s="233">
        <v>0.43958333333333333</v>
      </c>
      <c r="J95" s="234">
        <v>0.43958333333333333</v>
      </c>
      <c r="K95" s="234">
        <v>0.44027777777777777</v>
      </c>
      <c r="L95" s="234">
        <f t="shared" si="2"/>
        <v>6.9444444444444198E-4</v>
      </c>
      <c r="M95" s="234">
        <f>L95</f>
        <v>6.9444444444444198E-4</v>
      </c>
      <c r="N95" s="234">
        <v>0.44027777777777777</v>
      </c>
      <c r="O95" s="230"/>
      <c r="P95" s="235"/>
    </row>
    <row r="96" spans="1:16" x14ac:dyDescent="0.25">
      <c r="A96" s="238">
        <v>14</v>
      </c>
      <c r="B96" s="239">
        <v>46134</v>
      </c>
      <c r="C96" s="249">
        <v>21</v>
      </c>
      <c r="D96" s="240" t="s">
        <v>27</v>
      </c>
      <c r="E96" s="240" t="s">
        <v>28</v>
      </c>
      <c r="F96" s="241" t="s">
        <v>59</v>
      </c>
      <c r="G96" s="248">
        <v>1</v>
      </c>
      <c r="H96" s="248">
        <v>68</v>
      </c>
      <c r="I96" s="241">
        <v>0.46805555555555556</v>
      </c>
      <c r="J96" s="243">
        <v>0.46805555555555556</v>
      </c>
      <c r="K96" s="243">
        <v>0.47013888888888888</v>
      </c>
      <c r="L96" s="243">
        <f t="shared" ref="L96:L103" si="3">K96-J96</f>
        <v>2.0833333333333259E-3</v>
      </c>
      <c r="M96" s="243">
        <f>L96</f>
        <v>2.0833333333333259E-3</v>
      </c>
      <c r="N96" s="243">
        <v>0.47013888888888888</v>
      </c>
      <c r="O96" s="246">
        <v>8</v>
      </c>
      <c r="P96" s="244" t="s">
        <v>108</v>
      </c>
    </row>
    <row r="97" spans="1:19" x14ac:dyDescent="0.25">
      <c r="A97" s="238"/>
      <c r="B97" s="240"/>
      <c r="C97" s="240"/>
      <c r="D97" s="240"/>
      <c r="E97" s="240"/>
      <c r="F97" s="242"/>
      <c r="G97" s="248">
        <v>2</v>
      </c>
      <c r="H97" s="248">
        <v>69</v>
      </c>
      <c r="I97" s="241">
        <v>0.47013888888888888</v>
      </c>
      <c r="J97" s="243">
        <v>0.47013888888888888</v>
      </c>
      <c r="K97" s="243">
        <v>0.47152777777777777</v>
      </c>
      <c r="L97" s="243">
        <f t="shared" si="3"/>
        <v>1.388888888888884E-3</v>
      </c>
      <c r="M97" s="243">
        <f t="shared" ref="M97:M103" si="4">L97</f>
        <v>1.388888888888884E-3</v>
      </c>
      <c r="N97" s="243">
        <v>0.47152777777777777</v>
      </c>
      <c r="O97" s="246"/>
      <c r="P97" s="247"/>
    </row>
    <row r="98" spans="1:19" x14ac:dyDescent="0.25">
      <c r="A98" s="238"/>
      <c r="B98" s="240"/>
      <c r="C98" s="240"/>
      <c r="D98" s="240"/>
      <c r="E98" s="240"/>
      <c r="F98" s="242"/>
      <c r="G98" s="248">
        <v>3</v>
      </c>
      <c r="H98" s="248">
        <v>70</v>
      </c>
      <c r="I98" s="241">
        <v>0.47291666666666665</v>
      </c>
      <c r="J98" s="243">
        <v>0.47291666666666665</v>
      </c>
      <c r="K98" s="243">
        <v>0.47430555555555554</v>
      </c>
      <c r="L98" s="243">
        <f t="shared" si="3"/>
        <v>1.388888888888884E-3</v>
      </c>
      <c r="M98" s="243">
        <f t="shared" si="4"/>
        <v>1.388888888888884E-3</v>
      </c>
      <c r="N98" s="243">
        <v>0.47430555555555554</v>
      </c>
      <c r="O98" s="246"/>
      <c r="P98" s="244" t="s">
        <v>109</v>
      </c>
    </row>
    <row r="99" spans="1:19" x14ac:dyDescent="0.25">
      <c r="A99" s="238"/>
      <c r="B99" s="245"/>
      <c r="C99" s="240"/>
      <c r="D99" s="240"/>
      <c r="E99" s="240"/>
      <c r="F99" s="242"/>
      <c r="G99" s="248">
        <v>4</v>
      </c>
      <c r="H99" s="248">
        <v>71</v>
      </c>
      <c r="I99" s="241">
        <v>0.47430555555555554</v>
      </c>
      <c r="J99" s="243">
        <v>0.47430555555555554</v>
      </c>
      <c r="K99" s="243">
        <v>0.47638888888888886</v>
      </c>
      <c r="L99" s="243">
        <f t="shared" si="3"/>
        <v>2.0833333333333259E-3</v>
      </c>
      <c r="M99" s="243">
        <f t="shared" si="4"/>
        <v>2.0833333333333259E-3</v>
      </c>
      <c r="N99" s="243">
        <v>0.47638888888888886</v>
      </c>
      <c r="O99" s="246"/>
      <c r="P99" s="247" t="s">
        <v>110</v>
      </c>
    </row>
    <row r="100" spans="1:19" x14ac:dyDescent="0.25">
      <c r="A100" s="238"/>
      <c r="B100" s="240"/>
      <c r="C100" s="240"/>
      <c r="D100" s="240"/>
      <c r="E100" s="240"/>
      <c r="F100" s="242"/>
      <c r="G100" s="248">
        <v>5</v>
      </c>
      <c r="H100" s="248">
        <v>72</v>
      </c>
      <c r="I100" s="241">
        <v>0.47638888888888886</v>
      </c>
      <c r="J100" s="243">
        <v>0.47638888888888886</v>
      </c>
      <c r="K100" s="243">
        <v>0.47847222222222224</v>
      </c>
      <c r="L100" s="243">
        <f t="shared" si="3"/>
        <v>2.0833333333333814E-3</v>
      </c>
      <c r="M100" s="243">
        <f t="shared" si="4"/>
        <v>2.0833333333333814E-3</v>
      </c>
      <c r="N100" s="243">
        <v>0.47847222222222224</v>
      </c>
      <c r="O100" s="246"/>
      <c r="P100" s="240" t="s">
        <v>111</v>
      </c>
    </row>
    <row r="101" spans="1:19" x14ac:dyDescent="0.25">
      <c r="A101" s="238"/>
      <c r="B101" s="240"/>
      <c r="C101" s="240"/>
      <c r="D101" s="240"/>
      <c r="E101" s="240"/>
      <c r="F101" s="242"/>
      <c r="G101" s="248">
        <v>6</v>
      </c>
      <c r="H101" s="248">
        <v>73</v>
      </c>
      <c r="I101" s="241">
        <v>0.47916666666666669</v>
      </c>
      <c r="J101" s="243">
        <v>0.47916666666666669</v>
      </c>
      <c r="K101" s="243">
        <v>0.47986111111111113</v>
      </c>
      <c r="L101" s="243">
        <f t="shared" si="3"/>
        <v>6.9444444444444198E-4</v>
      </c>
      <c r="M101" s="243">
        <f t="shared" si="4"/>
        <v>6.9444444444444198E-4</v>
      </c>
      <c r="N101" s="243">
        <v>0.47986111111111113</v>
      </c>
      <c r="O101" s="246"/>
      <c r="P101" s="240" t="s">
        <v>112</v>
      </c>
    </row>
    <row r="102" spans="1:19" x14ac:dyDescent="0.25">
      <c r="A102" s="238"/>
      <c r="B102" s="240"/>
      <c r="C102" s="240"/>
      <c r="D102" s="240"/>
      <c r="E102" s="240"/>
      <c r="F102" s="242"/>
      <c r="G102" s="248">
        <v>7</v>
      </c>
      <c r="H102" s="248">
        <v>74</v>
      </c>
      <c r="I102" s="241">
        <v>0.47986111111111113</v>
      </c>
      <c r="J102" s="243">
        <v>0.47986111111111113</v>
      </c>
      <c r="K102" s="243">
        <v>0.48125000000000001</v>
      </c>
      <c r="L102" s="243">
        <f t="shared" si="3"/>
        <v>1.388888888888884E-3</v>
      </c>
      <c r="M102" s="243">
        <f t="shared" si="4"/>
        <v>1.388888888888884E-3</v>
      </c>
      <c r="N102" s="243">
        <v>0.48125000000000001</v>
      </c>
      <c r="O102" s="246"/>
      <c r="P102" s="240" t="s">
        <v>113</v>
      </c>
    </row>
    <row r="103" spans="1:19" x14ac:dyDescent="0.25">
      <c r="A103" s="238"/>
      <c r="B103" s="240"/>
      <c r="C103" s="240"/>
      <c r="D103" s="240"/>
      <c r="E103" s="240"/>
      <c r="F103" s="242"/>
      <c r="G103" s="248">
        <v>8</v>
      </c>
      <c r="H103" s="248">
        <v>75</v>
      </c>
      <c r="I103" s="241">
        <v>0.48194444444444445</v>
      </c>
      <c r="J103" s="243">
        <v>0.48194444444444445</v>
      </c>
      <c r="K103" s="243">
        <v>0.48402777777777778</v>
      </c>
      <c r="L103" s="243">
        <f t="shared" si="3"/>
        <v>2.0833333333333259E-3</v>
      </c>
      <c r="M103" s="243">
        <f t="shared" si="4"/>
        <v>2.0833333333333259E-3</v>
      </c>
      <c r="N103" s="243">
        <v>0.48402777777777778</v>
      </c>
      <c r="O103" s="246"/>
      <c r="P103" s="244"/>
    </row>
    <row r="104" spans="1:19" x14ac:dyDescent="0.25">
      <c r="A104" s="250">
        <v>15</v>
      </c>
      <c r="B104" s="251">
        <v>46134</v>
      </c>
      <c r="C104" s="252">
        <v>4</v>
      </c>
      <c r="D104" s="253" t="s">
        <v>27</v>
      </c>
      <c r="E104" s="253" t="s">
        <v>28</v>
      </c>
      <c r="F104" s="254" t="s">
        <v>114</v>
      </c>
      <c r="G104" s="255">
        <v>1</v>
      </c>
      <c r="H104" s="255">
        <v>76</v>
      </c>
      <c r="I104" s="254">
        <v>0.1</v>
      </c>
      <c r="J104" s="256">
        <v>0.1</v>
      </c>
      <c r="K104" s="256">
        <v>0.10069444444444445</v>
      </c>
      <c r="L104" s="256">
        <f t="shared" si="2"/>
        <v>6.9444444444444198E-4</v>
      </c>
      <c r="M104" s="256">
        <f t="shared" ref="M104:M111" si="5">L104</f>
        <v>6.9444444444444198E-4</v>
      </c>
      <c r="N104" s="256">
        <v>0.10069444444444445</v>
      </c>
      <c r="O104" s="260">
        <v>5</v>
      </c>
      <c r="P104" s="257" t="s">
        <v>106</v>
      </c>
    </row>
    <row r="105" spans="1:19" x14ac:dyDescent="0.25">
      <c r="A105" s="250"/>
      <c r="B105" s="253"/>
      <c r="C105" s="253" t="s">
        <v>115</v>
      </c>
      <c r="D105" s="253"/>
      <c r="E105" s="253"/>
      <c r="F105" s="258"/>
      <c r="G105" s="255">
        <v>2</v>
      </c>
      <c r="H105" s="255">
        <v>77</v>
      </c>
      <c r="I105" s="254">
        <v>0.10069444444444445</v>
      </c>
      <c r="J105" s="256">
        <v>0.10069444444444445</v>
      </c>
      <c r="K105" s="256">
        <v>0.10138888888888889</v>
      </c>
      <c r="L105" s="256">
        <f t="shared" si="2"/>
        <v>6.9444444444444198E-4</v>
      </c>
      <c r="M105" s="256">
        <f t="shared" si="5"/>
        <v>6.9444444444444198E-4</v>
      </c>
      <c r="N105" s="256">
        <v>0.10138888888888889</v>
      </c>
      <c r="O105" s="260"/>
      <c r="P105" s="362"/>
    </row>
    <row r="106" spans="1:19" x14ac:dyDescent="0.25">
      <c r="A106" s="250"/>
      <c r="B106" s="253"/>
      <c r="C106" s="253"/>
      <c r="D106" s="253"/>
      <c r="E106" s="253"/>
      <c r="F106" s="258"/>
      <c r="G106" s="255">
        <v>3</v>
      </c>
      <c r="H106" s="255">
        <v>78</v>
      </c>
      <c r="I106" s="254">
        <v>0.10138888888888889</v>
      </c>
      <c r="J106" s="256">
        <v>0.10138888888888889</v>
      </c>
      <c r="K106" s="256">
        <v>0.10277777777777777</v>
      </c>
      <c r="L106" s="256">
        <f t="shared" si="2"/>
        <v>1.388888888888884E-3</v>
      </c>
      <c r="M106" s="256">
        <f t="shared" si="5"/>
        <v>1.388888888888884E-3</v>
      </c>
      <c r="N106" s="256">
        <v>0.10277777777777777</v>
      </c>
      <c r="O106" s="260"/>
      <c r="P106" s="257" t="s">
        <v>116</v>
      </c>
    </row>
    <row r="107" spans="1:19" x14ac:dyDescent="0.25">
      <c r="A107" s="250"/>
      <c r="B107" s="253"/>
      <c r="C107" s="253"/>
      <c r="D107" s="253"/>
      <c r="E107" s="253"/>
      <c r="F107" s="258"/>
      <c r="G107" s="255">
        <v>4</v>
      </c>
      <c r="H107" s="255">
        <v>79</v>
      </c>
      <c r="I107" s="254">
        <v>0.1076388888888889</v>
      </c>
      <c r="J107" s="256">
        <v>0.1076388888888889</v>
      </c>
      <c r="K107" s="256">
        <v>0.10833333333333334</v>
      </c>
      <c r="L107" s="256">
        <f t="shared" si="2"/>
        <v>6.9444444444444198E-4</v>
      </c>
      <c r="M107" s="256">
        <f t="shared" si="5"/>
        <v>6.9444444444444198E-4</v>
      </c>
      <c r="N107" s="256">
        <v>0.10833333333333334</v>
      </c>
      <c r="O107" s="260"/>
      <c r="P107" s="257" t="s">
        <v>117</v>
      </c>
    </row>
    <row r="108" spans="1:19" x14ac:dyDescent="0.25">
      <c r="A108" s="250"/>
      <c r="B108" s="259"/>
      <c r="C108" s="253"/>
      <c r="D108" s="253"/>
      <c r="E108" s="253"/>
      <c r="F108" s="258"/>
      <c r="G108" s="255">
        <v>5</v>
      </c>
      <c r="H108" s="255">
        <v>80</v>
      </c>
      <c r="I108" s="254">
        <v>0.10902777777777778</v>
      </c>
      <c r="J108" s="256">
        <v>0.10902777777777778</v>
      </c>
      <c r="K108" s="256">
        <v>0.10972222222222222</v>
      </c>
      <c r="L108" s="256">
        <f t="shared" si="2"/>
        <v>6.9444444444444198E-4</v>
      </c>
      <c r="M108" s="256">
        <f t="shared" si="5"/>
        <v>6.9444444444444198E-4</v>
      </c>
      <c r="N108" s="256">
        <v>0.10972222222222222</v>
      </c>
      <c r="O108" s="260"/>
      <c r="P108" s="362" t="s">
        <v>118</v>
      </c>
    </row>
    <row r="109" spans="1:19" ht="30" x14ac:dyDescent="0.25">
      <c r="A109" s="214">
        <v>16</v>
      </c>
      <c r="B109" s="222">
        <v>46135</v>
      </c>
      <c r="C109" s="265">
        <v>21</v>
      </c>
      <c r="D109" s="216" t="s">
        <v>27</v>
      </c>
      <c r="E109" s="216" t="s">
        <v>28</v>
      </c>
      <c r="F109" s="261" t="s">
        <v>119</v>
      </c>
      <c r="G109" s="218">
        <v>1</v>
      </c>
      <c r="H109" s="218">
        <v>81</v>
      </c>
      <c r="I109" s="217">
        <v>0.4513888888888889</v>
      </c>
      <c r="J109" s="219">
        <v>0.4513888888888889</v>
      </c>
      <c r="K109" s="219">
        <v>0.45416666666666666</v>
      </c>
      <c r="L109" s="219">
        <f t="shared" si="2"/>
        <v>2.7777777777777679E-3</v>
      </c>
      <c r="M109" s="219">
        <f t="shared" si="5"/>
        <v>2.7777777777777679E-3</v>
      </c>
      <c r="N109" s="219">
        <v>0.45416666666666666</v>
      </c>
      <c r="O109" s="223">
        <v>7</v>
      </c>
      <c r="P109" s="262" t="s">
        <v>120</v>
      </c>
    </row>
    <row r="110" spans="1:19" ht="60" x14ac:dyDescent="0.25">
      <c r="A110" s="214"/>
      <c r="B110" s="216"/>
      <c r="C110" s="216"/>
      <c r="D110" s="216"/>
      <c r="E110" s="216"/>
      <c r="F110" s="220"/>
      <c r="G110" s="218">
        <v>2</v>
      </c>
      <c r="H110" s="218">
        <v>82</v>
      </c>
      <c r="I110" s="219">
        <v>0.45416666666666666</v>
      </c>
      <c r="J110" s="219">
        <v>0.45416666666666666</v>
      </c>
      <c r="K110" s="219">
        <v>0.4548611111111111</v>
      </c>
      <c r="L110" s="219">
        <f t="shared" si="2"/>
        <v>6.9444444444444198E-4</v>
      </c>
      <c r="M110" s="219">
        <f t="shared" si="5"/>
        <v>6.9444444444444198E-4</v>
      </c>
      <c r="N110" s="219">
        <v>0.4548611111111111</v>
      </c>
      <c r="O110" s="223"/>
      <c r="P110" s="312" t="s">
        <v>121</v>
      </c>
    </row>
    <row r="111" spans="1:19" ht="60" x14ac:dyDescent="0.25">
      <c r="A111" s="214"/>
      <c r="B111" s="216"/>
      <c r="C111" s="216"/>
      <c r="D111" s="216"/>
      <c r="E111" s="216"/>
      <c r="F111" s="220"/>
      <c r="G111" s="218">
        <v>3</v>
      </c>
      <c r="H111" s="218">
        <v>83</v>
      </c>
      <c r="I111" s="219">
        <v>0.45555555555555555</v>
      </c>
      <c r="J111" s="219">
        <v>0.45555555555555555</v>
      </c>
      <c r="K111" s="219">
        <v>0.45763888888888887</v>
      </c>
      <c r="L111" s="219">
        <f t="shared" si="2"/>
        <v>2.0833333333333259E-3</v>
      </c>
      <c r="M111" s="219">
        <f t="shared" si="5"/>
        <v>2.0833333333333259E-3</v>
      </c>
      <c r="N111" s="219">
        <v>0.45763888888888887</v>
      </c>
      <c r="O111" s="223"/>
      <c r="P111" s="262" t="s">
        <v>122</v>
      </c>
    </row>
    <row r="112" spans="1:19" x14ac:dyDescent="0.25">
      <c r="A112" s="263"/>
      <c r="B112" s="264"/>
      <c r="C112" s="220"/>
      <c r="D112" s="220"/>
      <c r="E112" s="220"/>
      <c r="F112" s="220"/>
      <c r="G112" s="218">
        <v>4</v>
      </c>
      <c r="H112" s="218">
        <v>84</v>
      </c>
      <c r="I112" s="217">
        <v>0.4597222222222222</v>
      </c>
      <c r="J112" s="217">
        <v>0.4597222222222222</v>
      </c>
      <c r="K112" s="219">
        <v>0.46041666666666664</v>
      </c>
      <c r="L112" s="219">
        <f t="shared" si="2"/>
        <v>6.9444444444444198E-4</v>
      </c>
      <c r="M112" s="219">
        <f>SUM(L112:L113)</f>
        <v>5.5555555555555913E-3</v>
      </c>
      <c r="N112" s="219">
        <v>0.46527777777777779</v>
      </c>
      <c r="O112" s="223"/>
      <c r="P112" s="221" t="s">
        <v>123</v>
      </c>
      <c r="Q112" s="28"/>
      <c r="R112" s="28"/>
      <c r="S112" s="23"/>
    </row>
    <row r="113" spans="1:16" x14ac:dyDescent="0.25">
      <c r="A113" s="214"/>
      <c r="B113" s="222"/>
      <c r="C113" s="216"/>
      <c r="D113" s="216"/>
      <c r="E113" s="216"/>
      <c r="F113" s="220"/>
      <c r="G113" s="218"/>
      <c r="H113" s="218"/>
      <c r="I113" s="220"/>
      <c r="J113" s="219">
        <v>0.46041666666666664</v>
      </c>
      <c r="K113" s="219">
        <v>0.46527777777777779</v>
      </c>
      <c r="L113" s="219">
        <f t="shared" si="2"/>
        <v>4.8611111111111494E-3</v>
      </c>
      <c r="M113" s="219"/>
      <c r="N113" s="219"/>
      <c r="O113" s="223"/>
      <c r="P113" s="221"/>
    </row>
    <row r="114" spans="1:16" x14ac:dyDescent="0.25">
      <c r="A114" s="214"/>
      <c r="B114" s="216"/>
      <c r="C114" s="216"/>
      <c r="D114" s="216"/>
      <c r="E114" s="216"/>
      <c r="F114" s="220"/>
      <c r="G114" s="218">
        <v>5</v>
      </c>
      <c r="H114" s="218">
        <v>85</v>
      </c>
      <c r="I114" s="219">
        <v>0.46805555555555556</v>
      </c>
      <c r="J114" s="219">
        <v>0.46805555555555556</v>
      </c>
      <c r="K114" s="219">
        <v>0.46875</v>
      </c>
      <c r="L114" s="219">
        <f t="shared" si="2"/>
        <v>6.9444444444444198E-4</v>
      </c>
      <c r="M114" s="219">
        <f>L114</f>
        <v>6.9444444444444198E-4</v>
      </c>
      <c r="N114" s="219">
        <v>0.46875</v>
      </c>
      <c r="O114" s="223"/>
      <c r="P114" s="221"/>
    </row>
    <row r="115" spans="1:16" x14ac:dyDescent="0.25">
      <c r="A115" s="214"/>
      <c r="B115" s="216"/>
      <c r="C115" s="216"/>
      <c r="D115" s="216"/>
      <c r="E115" s="216"/>
      <c r="F115" s="220"/>
      <c r="G115" s="218">
        <v>6</v>
      </c>
      <c r="H115" s="218">
        <v>86</v>
      </c>
      <c r="I115" s="219">
        <v>0.46875</v>
      </c>
      <c r="J115" s="219">
        <v>0.46875</v>
      </c>
      <c r="K115" s="219">
        <v>0.46944444444444444</v>
      </c>
      <c r="L115" s="219">
        <f t="shared" si="2"/>
        <v>6.9444444444444198E-4</v>
      </c>
      <c r="M115" s="219">
        <f>L115</f>
        <v>6.9444444444444198E-4</v>
      </c>
      <c r="N115" s="219">
        <v>0.46944444444444444</v>
      </c>
      <c r="O115" s="223"/>
      <c r="P115" s="221"/>
    </row>
    <row r="116" spans="1:16" x14ac:dyDescent="0.25">
      <c r="A116" s="214"/>
      <c r="B116" s="216"/>
      <c r="C116" s="216"/>
      <c r="D116" s="216"/>
      <c r="E116" s="216"/>
      <c r="F116" s="220"/>
      <c r="G116" s="218">
        <v>7</v>
      </c>
      <c r="H116" s="218">
        <v>87</v>
      </c>
      <c r="I116" s="219">
        <v>0.47083333333333333</v>
      </c>
      <c r="J116" s="219">
        <v>0.47083333333333333</v>
      </c>
      <c r="K116" s="219">
        <v>0.47152777777777777</v>
      </c>
      <c r="L116" s="219">
        <f t="shared" si="2"/>
        <v>6.9444444444444198E-4</v>
      </c>
      <c r="M116" s="219">
        <f>SUM(L116:L117)</f>
        <v>1.388888888888884E-3</v>
      </c>
      <c r="N116" s="219">
        <v>0.47430555555555554</v>
      </c>
      <c r="O116" s="223"/>
      <c r="P116" s="221"/>
    </row>
    <row r="117" spans="1:16" x14ac:dyDescent="0.25">
      <c r="A117" s="214"/>
      <c r="B117" s="216"/>
      <c r="C117" s="216"/>
      <c r="D117" s="216"/>
      <c r="E117" s="216"/>
      <c r="F117" s="220"/>
      <c r="G117" s="218"/>
      <c r="H117" s="218"/>
      <c r="I117" s="220"/>
      <c r="J117" s="219">
        <v>0.47361111111111109</v>
      </c>
      <c r="K117" s="219">
        <v>0.47430555555555554</v>
      </c>
      <c r="L117" s="219">
        <f t="shared" si="2"/>
        <v>6.9444444444444198E-4</v>
      </c>
      <c r="M117" s="216"/>
      <c r="N117" s="216"/>
      <c r="O117" s="223"/>
      <c r="P117" s="221"/>
    </row>
    <row r="118" spans="1:16" x14ac:dyDescent="0.25">
      <c r="A118" s="277">
        <v>17</v>
      </c>
      <c r="B118" s="278">
        <v>46135</v>
      </c>
      <c r="C118" s="279">
        <v>4</v>
      </c>
      <c r="D118" s="280" t="s">
        <v>27</v>
      </c>
      <c r="E118" s="280" t="s">
        <v>28</v>
      </c>
      <c r="F118" s="281" t="s">
        <v>124</v>
      </c>
      <c r="G118" s="282">
        <v>1</v>
      </c>
      <c r="H118" s="282">
        <v>88</v>
      </c>
      <c r="I118" s="283">
        <v>6.7361111111111108E-2</v>
      </c>
      <c r="J118" s="284">
        <v>6.7361111111111108E-2</v>
      </c>
      <c r="K118" s="284">
        <v>6.805555555555555E-2</v>
      </c>
      <c r="L118" s="284">
        <f t="shared" si="2"/>
        <v>6.9444444444444198E-4</v>
      </c>
      <c r="M118" s="284">
        <f>L118</f>
        <v>6.9444444444444198E-4</v>
      </c>
      <c r="N118" s="284">
        <v>6.805555555555555E-2</v>
      </c>
      <c r="O118" s="285">
        <v>3</v>
      </c>
      <c r="P118" s="286" t="s">
        <v>106</v>
      </c>
    </row>
    <row r="119" spans="1:16" x14ac:dyDescent="0.25">
      <c r="A119" s="277"/>
      <c r="B119" s="280"/>
      <c r="C119" s="280"/>
      <c r="D119" s="280"/>
      <c r="E119" s="280"/>
      <c r="F119" s="281"/>
      <c r="G119" s="282">
        <v>2</v>
      </c>
      <c r="H119" s="282">
        <v>89</v>
      </c>
      <c r="I119" s="283">
        <v>7.1527777777777773E-2</v>
      </c>
      <c r="J119" s="284">
        <v>7.1527777777777773E-2</v>
      </c>
      <c r="K119" s="284">
        <v>7.3611111111111113E-2</v>
      </c>
      <c r="L119" s="284">
        <f t="shared" si="2"/>
        <v>2.0833333333333398E-3</v>
      </c>
      <c r="M119" s="284">
        <f>L119</f>
        <v>2.0833333333333398E-3</v>
      </c>
      <c r="N119" s="284">
        <v>7.3611111111111113E-2</v>
      </c>
      <c r="O119" s="285"/>
      <c r="P119" s="286" t="s">
        <v>125</v>
      </c>
    </row>
    <row r="120" spans="1:16" x14ac:dyDescent="0.25">
      <c r="A120" s="277"/>
      <c r="B120" s="280"/>
      <c r="C120" s="280"/>
      <c r="D120" s="280"/>
      <c r="E120" s="280"/>
      <c r="F120" s="281"/>
      <c r="G120" s="282">
        <v>3</v>
      </c>
      <c r="H120" s="282">
        <v>90</v>
      </c>
      <c r="I120" s="283">
        <v>7.3611111111111113E-2</v>
      </c>
      <c r="J120" s="284">
        <v>7.3611111111111113E-2</v>
      </c>
      <c r="K120" s="284">
        <v>7.4305555555555555E-2</v>
      </c>
      <c r="L120" s="284">
        <f t="shared" si="2"/>
        <v>6.9444444444444198E-4</v>
      </c>
      <c r="M120" s="284">
        <f>L120</f>
        <v>6.9444444444444198E-4</v>
      </c>
      <c r="N120" s="284">
        <v>7.4305555555555555E-2</v>
      </c>
      <c r="O120" s="285"/>
      <c r="P120" s="286" t="s">
        <v>126</v>
      </c>
    </row>
    <row r="121" spans="1:16" ht="30" x14ac:dyDescent="0.25">
      <c r="A121" s="214">
        <v>18</v>
      </c>
      <c r="B121" s="226">
        <v>46135</v>
      </c>
      <c r="C121" s="265">
        <v>11</v>
      </c>
      <c r="D121" s="216" t="s">
        <v>38</v>
      </c>
      <c r="E121" s="216" t="s">
        <v>28</v>
      </c>
      <c r="F121" s="220" t="s">
        <v>127</v>
      </c>
      <c r="G121" s="218">
        <v>1</v>
      </c>
      <c r="H121" s="218">
        <v>91</v>
      </c>
      <c r="I121" s="217">
        <v>0.10347222222222222</v>
      </c>
      <c r="J121" s="219">
        <v>0.10347222222222222</v>
      </c>
      <c r="K121" s="219">
        <v>0.10486111111111111</v>
      </c>
      <c r="L121" s="219">
        <f t="shared" si="2"/>
        <v>1.3888888888888978E-3</v>
      </c>
      <c r="M121" s="219">
        <f>L121</f>
        <v>1.3888888888888978E-3</v>
      </c>
      <c r="N121" s="219">
        <v>0.10486111111111111</v>
      </c>
      <c r="O121" s="223">
        <v>7</v>
      </c>
      <c r="P121" s="262" t="s">
        <v>128</v>
      </c>
    </row>
    <row r="122" spans="1:16" x14ac:dyDescent="0.25">
      <c r="A122" s="214"/>
      <c r="B122" s="216"/>
      <c r="C122" s="216"/>
      <c r="D122" s="216"/>
      <c r="E122" s="216"/>
      <c r="F122" s="220"/>
      <c r="G122" s="218">
        <v>2</v>
      </c>
      <c r="H122" s="218">
        <v>92</v>
      </c>
      <c r="I122" s="217">
        <v>0.10555555555555556</v>
      </c>
      <c r="J122" s="219">
        <v>0.10555555555555556</v>
      </c>
      <c r="K122" s="219">
        <v>0.10694444444444444</v>
      </c>
      <c r="L122" s="219">
        <f t="shared" si="2"/>
        <v>1.388888888888884E-3</v>
      </c>
      <c r="M122" s="219">
        <f>SUM(L122:L123)</f>
        <v>3.4722222222222099E-3</v>
      </c>
      <c r="N122" s="219">
        <v>0.10972222222222222</v>
      </c>
      <c r="O122" s="223"/>
      <c r="P122" s="224" t="s">
        <v>129</v>
      </c>
    </row>
    <row r="123" spans="1:16" x14ac:dyDescent="0.25">
      <c r="A123" s="214"/>
      <c r="B123" s="216"/>
      <c r="C123" s="216"/>
      <c r="D123" s="216"/>
      <c r="E123" s="216"/>
      <c r="F123" s="220"/>
      <c r="G123" s="218"/>
      <c r="H123" s="218"/>
      <c r="I123" s="217"/>
      <c r="J123" s="219">
        <v>0.1076388888888889</v>
      </c>
      <c r="K123" s="219">
        <v>0.10972222222222222</v>
      </c>
      <c r="L123" s="219">
        <f t="shared" si="2"/>
        <v>2.0833333333333259E-3</v>
      </c>
      <c r="M123" s="216"/>
      <c r="N123" s="216"/>
      <c r="O123" s="223"/>
      <c r="P123" s="224" t="s">
        <v>130</v>
      </c>
    </row>
    <row r="124" spans="1:16" x14ac:dyDescent="0.25">
      <c r="A124" s="214"/>
      <c r="B124" s="216"/>
      <c r="C124" s="216"/>
      <c r="D124" s="216"/>
      <c r="E124" s="216"/>
      <c r="F124" s="220"/>
      <c r="G124" s="218">
        <v>3</v>
      </c>
      <c r="H124" s="218">
        <v>93</v>
      </c>
      <c r="I124" s="217">
        <v>0.11041666666666666</v>
      </c>
      <c r="J124" s="219">
        <v>0.11041666666666666</v>
      </c>
      <c r="K124" s="219">
        <v>0.11180555555555556</v>
      </c>
      <c r="L124" s="219">
        <f t="shared" si="2"/>
        <v>1.3888888888888978E-3</v>
      </c>
      <c r="M124" s="219">
        <f t="shared" ref="M124:M139" si="6">L124</f>
        <v>1.3888888888888978E-3</v>
      </c>
      <c r="N124" s="219">
        <v>0.11180555555555556</v>
      </c>
      <c r="O124" s="216"/>
      <c r="P124" s="221"/>
    </row>
    <row r="125" spans="1:16" x14ac:dyDescent="0.25">
      <c r="A125" s="214"/>
      <c r="B125" s="216"/>
      <c r="C125" s="216"/>
      <c r="D125" s="216"/>
      <c r="E125" s="216"/>
      <c r="F125" s="220"/>
      <c r="G125" s="218">
        <v>4</v>
      </c>
      <c r="H125" s="218">
        <v>94</v>
      </c>
      <c r="I125" s="217">
        <v>0.11319444444444444</v>
      </c>
      <c r="J125" s="219">
        <v>0.11319444444444444</v>
      </c>
      <c r="K125" s="219">
        <v>0.11458333333333333</v>
      </c>
      <c r="L125" s="219">
        <f t="shared" si="2"/>
        <v>1.388888888888884E-3</v>
      </c>
      <c r="M125" s="219">
        <f t="shared" si="6"/>
        <v>1.388888888888884E-3</v>
      </c>
      <c r="N125" s="219">
        <v>0.11458333333333333</v>
      </c>
      <c r="O125" s="216"/>
      <c r="P125" s="221"/>
    </row>
    <row r="126" spans="1:16" x14ac:dyDescent="0.25">
      <c r="A126" s="214"/>
      <c r="B126" s="216"/>
      <c r="C126" s="216"/>
      <c r="D126" s="216"/>
      <c r="E126" s="216"/>
      <c r="F126" s="220"/>
      <c r="G126" s="218">
        <v>5</v>
      </c>
      <c r="H126" s="218">
        <v>95</v>
      </c>
      <c r="I126" s="217">
        <v>0.11458333333333333</v>
      </c>
      <c r="J126" s="219">
        <v>0.11458333333333333</v>
      </c>
      <c r="K126" s="219">
        <v>0.11597222222222223</v>
      </c>
      <c r="L126" s="219">
        <f t="shared" si="2"/>
        <v>1.3888888888888978E-3</v>
      </c>
      <c r="M126" s="219">
        <f t="shared" si="6"/>
        <v>1.3888888888888978E-3</v>
      </c>
      <c r="N126" s="219">
        <v>0.11597222222222223</v>
      </c>
      <c r="O126" s="216"/>
      <c r="P126" s="221"/>
    </row>
    <row r="127" spans="1:16" x14ac:dyDescent="0.25">
      <c r="A127" s="214"/>
      <c r="B127" s="216"/>
      <c r="C127" s="216"/>
      <c r="D127" s="216"/>
      <c r="E127" s="216"/>
      <c r="F127" s="220"/>
      <c r="G127" s="218">
        <v>6</v>
      </c>
      <c r="H127" s="218">
        <v>96</v>
      </c>
      <c r="I127" s="217">
        <v>0.11874999999999999</v>
      </c>
      <c r="J127" s="219">
        <v>0.11874999999999999</v>
      </c>
      <c r="K127" s="219">
        <v>0.11944444444444445</v>
      </c>
      <c r="L127" s="219">
        <f t="shared" ref="L127:L190" si="7">K127-J127</f>
        <v>6.9444444444445586E-4</v>
      </c>
      <c r="M127" s="219">
        <f t="shared" si="6"/>
        <v>6.9444444444445586E-4</v>
      </c>
      <c r="N127" s="219">
        <v>0.11944444444444445</v>
      </c>
      <c r="O127" s="216"/>
      <c r="P127" s="221"/>
    </row>
    <row r="128" spans="1:16" x14ac:dyDescent="0.25">
      <c r="A128" s="214"/>
      <c r="B128" s="216"/>
      <c r="C128" s="216"/>
      <c r="D128" s="216"/>
      <c r="E128" s="216"/>
      <c r="F128" s="220"/>
      <c r="G128" s="218">
        <v>7</v>
      </c>
      <c r="H128" s="218">
        <v>97</v>
      </c>
      <c r="I128" s="217">
        <v>0.12777777777777777</v>
      </c>
      <c r="J128" s="219">
        <v>0.12777777777777777</v>
      </c>
      <c r="K128" s="219">
        <v>0.12847222222222221</v>
      </c>
      <c r="L128" s="219">
        <f t="shared" si="7"/>
        <v>6.9444444444444198E-4</v>
      </c>
      <c r="M128" s="219">
        <f t="shared" si="6"/>
        <v>6.9444444444444198E-4</v>
      </c>
      <c r="N128" s="219">
        <v>0.12847222222222221</v>
      </c>
      <c r="O128" s="216"/>
      <c r="P128" s="221"/>
    </row>
    <row r="129" spans="1:16" ht="75" x14ac:dyDescent="0.25">
      <c r="A129" s="287">
        <v>19</v>
      </c>
      <c r="B129" s="288">
        <v>46136</v>
      </c>
      <c r="C129" s="289">
        <v>30</v>
      </c>
      <c r="D129" s="290" t="s">
        <v>38</v>
      </c>
      <c r="E129" s="290" t="s">
        <v>28</v>
      </c>
      <c r="F129" s="291" t="s">
        <v>131</v>
      </c>
      <c r="G129" s="292">
        <v>1</v>
      </c>
      <c r="H129" s="292">
        <v>98</v>
      </c>
      <c r="I129" s="293">
        <v>0.47916666666666669</v>
      </c>
      <c r="J129" s="294">
        <v>0.47916666666666669</v>
      </c>
      <c r="K129" s="294">
        <v>0.48055555555555557</v>
      </c>
      <c r="L129" s="294">
        <f t="shared" si="7"/>
        <v>1.388888888888884E-3</v>
      </c>
      <c r="M129" s="294">
        <f t="shared" si="6"/>
        <v>1.388888888888884E-3</v>
      </c>
      <c r="N129" s="294">
        <v>0.48055555555555557</v>
      </c>
      <c r="O129" s="295">
        <v>1</v>
      </c>
      <c r="P129" s="299" t="s">
        <v>132</v>
      </c>
    </row>
    <row r="130" spans="1:16" ht="30" x14ac:dyDescent="0.25">
      <c r="A130" s="266">
        <v>20</v>
      </c>
      <c r="B130" s="297">
        <v>46136</v>
      </c>
      <c r="C130" s="275">
        <v>30</v>
      </c>
      <c r="D130" s="268" t="s">
        <v>38</v>
      </c>
      <c r="E130" s="268" t="s">
        <v>28</v>
      </c>
      <c r="F130" s="269" t="s">
        <v>114</v>
      </c>
      <c r="G130" s="276">
        <v>1</v>
      </c>
      <c r="H130" s="276">
        <v>99</v>
      </c>
      <c r="I130" s="270">
        <v>0.10833333333333334</v>
      </c>
      <c r="J130" s="271">
        <v>0.10833333333333334</v>
      </c>
      <c r="K130" s="271">
        <v>0.10972222222222222</v>
      </c>
      <c r="L130" s="271">
        <f t="shared" si="7"/>
        <v>1.388888888888884E-3</v>
      </c>
      <c r="M130" s="271">
        <f t="shared" si="6"/>
        <v>1.388888888888884E-3</v>
      </c>
      <c r="N130" s="271">
        <v>0.10972222222222222</v>
      </c>
      <c r="O130" s="272">
        <v>11</v>
      </c>
      <c r="P130" s="274" t="s">
        <v>133</v>
      </c>
    </row>
    <row r="131" spans="1:16" x14ac:dyDescent="0.25">
      <c r="A131" s="266"/>
      <c r="B131" s="268"/>
      <c r="C131" s="268"/>
      <c r="D131" s="268"/>
      <c r="E131" s="268"/>
      <c r="F131" s="269"/>
      <c r="G131" s="276">
        <v>2</v>
      </c>
      <c r="H131" s="276">
        <v>100</v>
      </c>
      <c r="I131" s="270">
        <v>0.11180555555555556</v>
      </c>
      <c r="J131" s="271">
        <v>0.11180555555555556</v>
      </c>
      <c r="K131" s="271">
        <v>0.11319444444444444</v>
      </c>
      <c r="L131" s="271">
        <f t="shared" si="7"/>
        <v>1.388888888888884E-3</v>
      </c>
      <c r="M131" s="271">
        <f t="shared" si="6"/>
        <v>1.388888888888884E-3</v>
      </c>
      <c r="N131" s="271">
        <v>0.11319444444444444</v>
      </c>
      <c r="O131" s="268"/>
      <c r="P131" s="298" t="s">
        <v>134</v>
      </c>
    </row>
    <row r="132" spans="1:16" x14ac:dyDescent="0.25">
      <c r="A132" s="266"/>
      <c r="B132" s="268"/>
      <c r="C132" s="268"/>
      <c r="D132" s="268"/>
      <c r="E132" s="268"/>
      <c r="F132" s="269"/>
      <c r="G132" s="276">
        <v>3</v>
      </c>
      <c r="H132" s="276">
        <v>101</v>
      </c>
      <c r="I132" s="270">
        <v>0.11319444444444444</v>
      </c>
      <c r="J132" s="271">
        <v>0.11319444444444444</v>
      </c>
      <c r="K132" s="271">
        <v>0.11388888888888889</v>
      </c>
      <c r="L132" s="271">
        <f t="shared" si="7"/>
        <v>6.9444444444444198E-4</v>
      </c>
      <c r="M132" s="271">
        <f t="shared" si="6"/>
        <v>6.9444444444444198E-4</v>
      </c>
      <c r="N132" s="271">
        <v>0.11388888888888889</v>
      </c>
      <c r="O132" s="268"/>
      <c r="P132" s="298" t="s">
        <v>135</v>
      </c>
    </row>
    <row r="133" spans="1:16" x14ac:dyDescent="0.25">
      <c r="A133" s="266"/>
      <c r="B133" s="268"/>
      <c r="C133" s="268"/>
      <c r="D133" s="268"/>
      <c r="E133" s="268"/>
      <c r="F133" s="269"/>
      <c r="G133" s="276">
        <v>4</v>
      </c>
      <c r="H133" s="276">
        <v>102</v>
      </c>
      <c r="I133" s="270">
        <v>0.11458333333333333</v>
      </c>
      <c r="J133" s="271">
        <v>0.11458333333333333</v>
      </c>
      <c r="K133" s="358">
        <v>0.11475694444444444</v>
      </c>
      <c r="L133" s="358">
        <f>K133-J133</f>
        <v>1.7361111111111049E-4</v>
      </c>
      <c r="M133" s="358">
        <f t="shared" si="6"/>
        <v>1.7361111111111049E-4</v>
      </c>
      <c r="N133" s="271">
        <v>0.11475694444444444</v>
      </c>
      <c r="O133" s="268"/>
      <c r="P133" s="273"/>
    </row>
    <row r="134" spans="1:16" ht="75" x14ac:dyDescent="0.25">
      <c r="A134" s="266"/>
      <c r="B134" s="268"/>
      <c r="C134" s="268"/>
      <c r="D134" s="268"/>
      <c r="E134" s="268"/>
      <c r="F134" s="269"/>
      <c r="G134" s="276">
        <v>5</v>
      </c>
      <c r="H134" s="276">
        <v>103</v>
      </c>
      <c r="I134" s="270">
        <v>0.11527777777777778</v>
      </c>
      <c r="J134" s="271">
        <v>0.11527777777777778</v>
      </c>
      <c r="K134" s="271">
        <v>0.11597222222222223</v>
      </c>
      <c r="L134" s="271">
        <f t="shared" si="7"/>
        <v>6.9444444444444198E-4</v>
      </c>
      <c r="M134" s="271">
        <f t="shared" si="6"/>
        <v>6.9444444444444198E-4</v>
      </c>
      <c r="N134" s="271">
        <v>0.11597222222222223</v>
      </c>
      <c r="O134" s="268"/>
      <c r="P134" s="300" t="s">
        <v>136</v>
      </c>
    </row>
    <row r="135" spans="1:16" x14ac:dyDescent="0.25">
      <c r="A135" s="266"/>
      <c r="B135" s="267"/>
      <c r="C135" s="268"/>
      <c r="D135" s="268"/>
      <c r="E135" s="268"/>
      <c r="F135" s="269"/>
      <c r="G135" s="276">
        <v>6</v>
      </c>
      <c r="H135" s="276">
        <v>104</v>
      </c>
      <c r="I135" s="270">
        <v>0.11597222222222223</v>
      </c>
      <c r="J135" s="271">
        <v>0.11597222222222223</v>
      </c>
      <c r="K135" s="271">
        <v>0.11666666666666667</v>
      </c>
      <c r="L135" s="271">
        <f t="shared" si="7"/>
        <v>6.9444444444444198E-4</v>
      </c>
      <c r="M135" s="271">
        <f t="shared" si="6"/>
        <v>6.9444444444444198E-4</v>
      </c>
      <c r="N135" s="271">
        <v>0.11666666666666667</v>
      </c>
      <c r="O135" s="272"/>
      <c r="P135" s="273"/>
    </row>
    <row r="136" spans="1:16" x14ac:dyDescent="0.25">
      <c r="A136" s="266"/>
      <c r="B136" s="268"/>
      <c r="C136" s="268"/>
      <c r="D136" s="268"/>
      <c r="E136" s="268"/>
      <c r="F136" s="269"/>
      <c r="G136" s="276">
        <v>7</v>
      </c>
      <c r="H136" s="276">
        <v>105</v>
      </c>
      <c r="I136" s="270">
        <v>0.12430555555555556</v>
      </c>
      <c r="J136" s="271">
        <v>0.12430555555555556</v>
      </c>
      <c r="K136" s="271">
        <v>0.12569444444444444</v>
      </c>
      <c r="L136" s="271">
        <f t="shared" si="7"/>
        <v>1.388888888888884E-3</v>
      </c>
      <c r="M136" s="271">
        <f t="shared" si="6"/>
        <v>1.388888888888884E-3</v>
      </c>
      <c r="N136" s="271">
        <v>0.12569444444444444</v>
      </c>
      <c r="O136" s="268"/>
      <c r="P136" s="298" t="s">
        <v>137</v>
      </c>
    </row>
    <row r="137" spans="1:16" x14ac:dyDescent="0.25">
      <c r="A137" s="266"/>
      <c r="B137" s="268"/>
      <c r="C137" s="268"/>
      <c r="D137" s="268"/>
      <c r="E137" s="268"/>
      <c r="F137" s="269"/>
      <c r="G137" s="276">
        <v>8</v>
      </c>
      <c r="H137" s="276">
        <v>106</v>
      </c>
      <c r="I137" s="270">
        <v>0.1361111111111111</v>
      </c>
      <c r="J137" s="271">
        <v>0.1361111111111111</v>
      </c>
      <c r="K137" s="271">
        <v>0.13680555555555557</v>
      </c>
      <c r="L137" s="271">
        <f t="shared" si="7"/>
        <v>6.9444444444446973E-4</v>
      </c>
      <c r="M137" s="271">
        <f t="shared" si="6"/>
        <v>6.9444444444446973E-4</v>
      </c>
      <c r="N137" s="271">
        <v>0.13680555555555557</v>
      </c>
      <c r="O137" s="268"/>
      <c r="P137" s="273"/>
    </row>
    <row r="138" spans="1:16" x14ac:dyDescent="0.25">
      <c r="A138" s="266"/>
      <c r="B138" s="268"/>
      <c r="C138" s="268"/>
      <c r="D138" s="268"/>
      <c r="E138" s="268"/>
      <c r="F138" s="269"/>
      <c r="G138" s="276">
        <v>9</v>
      </c>
      <c r="H138" s="276">
        <v>107</v>
      </c>
      <c r="I138" s="270">
        <v>0.13680555555555557</v>
      </c>
      <c r="J138" s="271">
        <v>0.13680555555555557</v>
      </c>
      <c r="K138" s="271">
        <v>0.13750000000000001</v>
      </c>
      <c r="L138" s="271">
        <f t="shared" si="7"/>
        <v>6.9444444444444198E-4</v>
      </c>
      <c r="M138" s="271">
        <f t="shared" si="6"/>
        <v>6.9444444444444198E-4</v>
      </c>
      <c r="N138" s="271">
        <v>0.13750000000000001</v>
      </c>
      <c r="O138" s="268"/>
      <c r="P138" s="273"/>
    </row>
    <row r="139" spans="1:16" x14ac:dyDescent="0.25">
      <c r="A139" s="266"/>
      <c r="B139" s="267"/>
      <c r="C139" s="268"/>
      <c r="D139" s="268"/>
      <c r="E139" s="268"/>
      <c r="F139" s="269"/>
      <c r="G139" s="276">
        <v>10</v>
      </c>
      <c r="H139" s="276">
        <v>108</v>
      </c>
      <c r="I139" s="270">
        <v>0.13819444444444445</v>
      </c>
      <c r="J139" s="271">
        <v>0.13819444444444445</v>
      </c>
      <c r="K139" s="271">
        <v>0.13958333333333334</v>
      </c>
      <c r="L139" s="271">
        <f t="shared" si="7"/>
        <v>1.388888888888884E-3</v>
      </c>
      <c r="M139" s="271">
        <f t="shared" si="6"/>
        <v>1.388888888888884E-3</v>
      </c>
      <c r="N139" s="271">
        <v>0.13958333333333334</v>
      </c>
      <c r="O139" s="268"/>
      <c r="P139" s="274"/>
    </row>
    <row r="140" spans="1:16" x14ac:dyDescent="0.25">
      <c r="A140" s="266"/>
      <c r="B140" s="268"/>
      <c r="C140" s="268"/>
      <c r="D140" s="268"/>
      <c r="E140" s="268"/>
      <c r="F140" s="269"/>
      <c r="G140" s="276">
        <v>11</v>
      </c>
      <c r="H140" s="276">
        <v>109</v>
      </c>
      <c r="I140" s="270">
        <v>0.14305555555555555</v>
      </c>
      <c r="J140" s="271">
        <v>0.14305555555555555</v>
      </c>
      <c r="K140" s="271">
        <v>0.14374999999999999</v>
      </c>
      <c r="L140" s="271">
        <f t="shared" si="7"/>
        <v>6.9444444444444198E-4</v>
      </c>
      <c r="M140" s="271">
        <f>SUM(L140:L141)</f>
        <v>2.0833333333333537E-3</v>
      </c>
      <c r="N140" s="271">
        <v>0.14583333333333334</v>
      </c>
      <c r="O140" s="268"/>
      <c r="P140" s="273"/>
    </row>
    <row r="141" spans="1:16" x14ac:dyDescent="0.25">
      <c r="A141" s="266"/>
      <c r="B141" s="268"/>
      <c r="C141" s="268"/>
      <c r="D141" s="268"/>
      <c r="E141" s="268"/>
      <c r="F141" s="269"/>
      <c r="G141" s="269"/>
      <c r="H141" s="269"/>
      <c r="I141" s="269"/>
      <c r="J141" s="271">
        <v>0.14444444444444443</v>
      </c>
      <c r="K141" s="271">
        <v>0.14583333333333334</v>
      </c>
      <c r="L141" s="271">
        <f t="shared" si="7"/>
        <v>1.3888888888889117E-3</v>
      </c>
      <c r="M141" s="268"/>
      <c r="N141" s="271"/>
      <c r="O141" s="268"/>
      <c r="P141" s="274"/>
    </row>
    <row r="142" spans="1:16" x14ac:dyDescent="0.25">
      <c r="A142" s="301">
        <v>21</v>
      </c>
      <c r="B142" s="302">
        <v>46137</v>
      </c>
      <c r="C142" s="303">
        <v>28</v>
      </c>
      <c r="D142" s="304" t="s">
        <v>38</v>
      </c>
      <c r="E142" s="304" t="s">
        <v>28</v>
      </c>
      <c r="F142" s="305" t="s">
        <v>138</v>
      </c>
      <c r="G142" s="310">
        <v>1</v>
      </c>
      <c r="H142" s="310">
        <v>110</v>
      </c>
      <c r="I142" s="306">
        <v>0.47569444444444442</v>
      </c>
      <c r="J142" s="307">
        <v>0.47569444444444442</v>
      </c>
      <c r="K142" s="307">
        <v>0.47638888888888886</v>
      </c>
      <c r="L142" s="307">
        <f t="shared" si="7"/>
        <v>6.9444444444444198E-4</v>
      </c>
      <c r="M142" s="307">
        <f>L142</f>
        <v>6.9444444444444198E-4</v>
      </c>
      <c r="N142" s="307">
        <v>0.47638888888888886</v>
      </c>
      <c r="O142" s="308">
        <v>1</v>
      </c>
      <c r="P142" s="373" t="s">
        <v>128</v>
      </c>
    </row>
    <row r="143" spans="1:16" x14ac:dyDescent="0.25">
      <c r="A143" s="301"/>
      <c r="B143" s="304"/>
      <c r="C143" s="304"/>
      <c r="D143" s="304"/>
      <c r="E143" s="304"/>
      <c r="F143" s="305"/>
      <c r="G143" s="310"/>
      <c r="H143" s="310"/>
      <c r="I143" s="306"/>
      <c r="J143" s="307"/>
      <c r="K143" s="307"/>
      <c r="L143" s="307">
        <v>0</v>
      </c>
      <c r="M143" s="304"/>
      <c r="N143" s="304"/>
      <c r="O143" s="304"/>
      <c r="P143" s="373"/>
    </row>
    <row r="144" spans="1:16" x14ac:dyDescent="0.25">
      <c r="A144" s="301"/>
      <c r="B144" s="304"/>
      <c r="C144" s="304"/>
      <c r="D144" s="304"/>
      <c r="E144" s="304"/>
      <c r="F144" s="305"/>
      <c r="G144" s="310"/>
      <c r="H144" s="310"/>
      <c r="I144" s="305"/>
      <c r="J144" s="307"/>
      <c r="K144" s="307"/>
      <c r="L144" s="307">
        <f t="shared" si="7"/>
        <v>0</v>
      </c>
      <c r="M144" s="304"/>
      <c r="N144" s="304"/>
      <c r="O144" s="304"/>
      <c r="P144" s="373"/>
    </row>
    <row r="145" spans="1:16" x14ac:dyDescent="0.25">
      <c r="A145" s="301"/>
      <c r="B145" s="304"/>
      <c r="C145" s="304"/>
      <c r="D145" s="304"/>
      <c r="E145" s="304"/>
      <c r="F145" s="305"/>
      <c r="G145" s="310"/>
      <c r="H145" s="310"/>
      <c r="I145" s="305"/>
      <c r="J145" s="307"/>
      <c r="K145" s="307"/>
      <c r="L145" s="307">
        <f t="shared" si="7"/>
        <v>0</v>
      </c>
      <c r="M145" s="304"/>
      <c r="N145" s="304"/>
      <c r="O145" s="304"/>
      <c r="P145" s="373"/>
    </row>
    <row r="146" spans="1:16" x14ac:dyDescent="0.25">
      <c r="A146" s="301"/>
      <c r="B146" s="304"/>
      <c r="C146" s="304"/>
      <c r="D146" s="304"/>
      <c r="E146" s="304"/>
      <c r="F146" s="305"/>
      <c r="G146" s="310"/>
      <c r="H146" s="310"/>
      <c r="I146" s="305"/>
      <c r="J146" s="307"/>
      <c r="K146" s="307"/>
      <c r="L146" s="307">
        <f t="shared" si="7"/>
        <v>0</v>
      </c>
      <c r="M146" s="304"/>
      <c r="N146" s="304"/>
      <c r="O146" s="304"/>
      <c r="P146" s="373"/>
    </row>
    <row r="147" spans="1:16" x14ac:dyDescent="0.25">
      <c r="A147" s="301"/>
      <c r="B147" s="304"/>
      <c r="C147" s="304"/>
      <c r="D147" s="304"/>
      <c r="E147" s="304"/>
      <c r="F147" s="305"/>
      <c r="G147" s="310"/>
      <c r="H147" s="310"/>
      <c r="I147" s="305"/>
      <c r="J147" s="307"/>
      <c r="K147" s="307"/>
      <c r="L147" s="307">
        <f t="shared" si="7"/>
        <v>0</v>
      </c>
      <c r="M147" s="304"/>
      <c r="N147" s="304"/>
      <c r="O147" s="304"/>
      <c r="P147" s="373"/>
    </row>
    <row r="148" spans="1:16" ht="60" x14ac:dyDescent="0.25">
      <c r="A148" s="301"/>
      <c r="B148" s="304"/>
      <c r="C148" s="304"/>
      <c r="D148" s="304"/>
      <c r="E148" s="304"/>
      <c r="F148" s="305"/>
      <c r="G148" s="310"/>
      <c r="H148" s="310"/>
      <c r="I148" s="305"/>
      <c r="J148" s="307"/>
      <c r="K148" s="307"/>
      <c r="L148" s="307">
        <f>K148-J148</f>
        <v>0</v>
      </c>
      <c r="M148" s="304"/>
      <c r="N148" s="304"/>
      <c r="O148" s="304"/>
      <c r="P148" s="309" t="s">
        <v>139</v>
      </c>
    </row>
    <row r="149" spans="1:16" x14ac:dyDescent="0.25">
      <c r="A149" s="214">
        <v>22</v>
      </c>
      <c r="B149" s="222">
        <v>46137</v>
      </c>
      <c r="C149" s="215">
        <v>21</v>
      </c>
      <c r="D149" s="216" t="s">
        <v>140</v>
      </c>
      <c r="E149" s="216" t="s">
        <v>141</v>
      </c>
      <c r="F149" s="217" t="s">
        <v>142</v>
      </c>
      <c r="G149" s="218">
        <v>1</v>
      </c>
      <c r="H149" s="218">
        <v>111</v>
      </c>
      <c r="I149" s="314">
        <v>6.0416666666666667E-2</v>
      </c>
      <c r="J149" s="219">
        <v>6.0416666666666667E-2</v>
      </c>
      <c r="K149" s="219">
        <v>6.1111111111111109E-2</v>
      </c>
      <c r="L149" s="219">
        <f t="shared" si="7"/>
        <v>6.9444444444444198E-4</v>
      </c>
      <c r="M149" s="219">
        <f>L149</f>
        <v>6.9444444444444198E-4</v>
      </c>
      <c r="N149" s="219">
        <v>6.1111111111111109E-2</v>
      </c>
      <c r="O149" s="223">
        <v>14</v>
      </c>
      <c r="P149" s="221" t="s">
        <v>108</v>
      </c>
    </row>
    <row r="150" spans="1:16" x14ac:dyDescent="0.25">
      <c r="A150" s="214"/>
      <c r="B150" s="216"/>
      <c r="C150" s="216"/>
      <c r="D150" s="216"/>
      <c r="E150" s="216"/>
      <c r="F150" s="220"/>
      <c r="G150" s="218">
        <v>2</v>
      </c>
      <c r="H150" s="218">
        <v>112</v>
      </c>
      <c r="I150" s="219">
        <v>6.1111111111111109E-2</v>
      </c>
      <c r="J150" s="219">
        <v>6.1111111111111109E-2</v>
      </c>
      <c r="K150" s="219">
        <v>6.2152777777777779E-2</v>
      </c>
      <c r="L150" s="219">
        <f>K150-J150</f>
        <v>1.0416666666666699E-3</v>
      </c>
      <c r="M150" s="219">
        <f>SUM(L150:L153)</f>
        <v>3.3333333333333479E-3</v>
      </c>
      <c r="N150" s="219">
        <v>6.5972222222222224E-2</v>
      </c>
      <c r="O150" s="216"/>
      <c r="P150" s="224" t="s">
        <v>143</v>
      </c>
    </row>
    <row r="151" spans="1:16" x14ac:dyDescent="0.25">
      <c r="A151" s="214"/>
      <c r="B151" s="216"/>
      <c r="C151" s="216"/>
      <c r="D151" s="216"/>
      <c r="E151" s="216"/>
      <c r="F151" s="220"/>
      <c r="G151" s="218"/>
      <c r="H151" s="218"/>
      <c r="I151" s="217"/>
      <c r="J151" s="219">
        <v>6.25E-2</v>
      </c>
      <c r="K151" s="219">
        <v>6.2708333333333338E-2</v>
      </c>
      <c r="L151" s="325">
        <f t="shared" si="7"/>
        <v>2.0833333333333814E-4</v>
      </c>
      <c r="M151" s="219"/>
      <c r="N151" s="216"/>
      <c r="O151" s="216"/>
      <c r="P151" s="224" t="s">
        <v>144</v>
      </c>
    </row>
    <row r="152" spans="1:16" x14ac:dyDescent="0.25">
      <c r="A152" s="214"/>
      <c r="B152" s="216"/>
      <c r="C152" s="216"/>
      <c r="D152" s="216"/>
      <c r="E152" s="216"/>
      <c r="F152" s="220"/>
      <c r="G152" s="218"/>
      <c r="H152" s="218"/>
      <c r="I152" s="220"/>
      <c r="J152" s="219">
        <v>6.3194444444444442E-2</v>
      </c>
      <c r="K152" s="219">
        <v>6.458333333333334E-2</v>
      </c>
      <c r="L152" s="219">
        <f t="shared" si="7"/>
        <v>1.3888888888888978E-3</v>
      </c>
      <c r="M152" s="219"/>
      <c r="N152" s="216"/>
      <c r="O152" s="216"/>
      <c r="P152" s="221"/>
    </row>
    <row r="153" spans="1:16" x14ac:dyDescent="0.25">
      <c r="A153" s="214"/>
      <c r="B153" s="216"/>
      <c r="C153" s="216"/>
      <c r="D153" s="216"/>
      <c r="E153" s="216"/>
      <c r="F153" s="220"/>
      <c r="G153" s="218"/>
      <c r="H153" s="218"/>
      <c r="I153" s="220"/>
      <c r="J153" s="219">
        <v>6.5277777777777782E-2</v>
      </c>
      <c r="K153" s="219">
        <v>6.5972222222222224E-2</v>
      </c>
      <c r="L153" s="219">
        <f t="shared" si="7"/>
        <v>6.9444444444444198E-4</v>
      </c>
      <c r="M153" s="219"/>
      <c r="N153" s="216"/>
      <c r="O153" s="216"/>
      <c r="P153" s="221"/>
    </row>
    <row r="154" spans="1:16" ht="15.75" x14ac:dyDescent="0.25">
      <c r="A154" s="214"/>
      <c r="B154" s="222"/>
      <c r="C154" s="223"/>
      <c r="D154" s="223"/>
      <c r="E154" s="223"/>
      <c r="F154" s="220"/>
      <c r="G154" s="218">
        <v>3</v>
      </c>
      <c r="H154" s="218">
        <v>113</v>
      </c>
      <c r="I154" s="219">
        <v>6.6666666666666666E-2</v>
      </c>
      <c r="J154" s="219">
        <v>6.6666666666666666E-2</v>
      </c>
      <c r="K154" s="219">
        <v>6.7361111111111108E-2</v>
      </c>
      <c r="L154" s="219">
        <f t="shared" si="7"/>
        <v>6.9444444444444198E-4</v>
      </c>
      <c r="M154" s="219">
        <f>L154</f>
        <v>6.9444444444444198E-4</v>
      </c>
      <c r="N154" s="219">
        <v>6.7361111111111108E-2</v>
      </c>
      <c r="O154" s="311"/>
      <c r="P154" s="221"/>
    </row>
    <row r="155" spans="1:16" x14ac:dyDescent="0.25">
      <c r="A155" s="214"/>
      <c r="B155" s="216"/>
      <c r="C155" s="216"/>
      <c r="D155" s="216"/>
      <c r="E155" s="216"/>
      <c r="F155" s="220"/>
      <c r="G155" s="218">
        <v>4</v>
      </c>
      <c r="H155" s="218">
        <v>114</v>
      </c>
      <c r="I155" s="219">
        <v>6.805555555555555E-2</v>
      </c>
      <c r="J155" s="219">
        <v>6.805555555555555E-2</v>
      </c>
      <c r="K155" s="219">
        <v>6.8402777777777785E-2</v>
      </c>
      <c r="L155" s="325">
        <f t="shared" si="7"/>
        <v>3.4722222222223487E-4</v>
      </c>
      <c r="M155" s="325">
        <f>SUM(L155:L156)</f>
        <v>1.7361111111111327E-3</v>
      </c>
      <c r="N155" s="219">
        <v>6.9444444444444448E-2</v>
      </c>
      <c r="O155" s="216"/>
      <c r="P155" s="224" t="s">
        <v>145</v>
      </c>
    </row>
    <row r="156" spans="1:16" x14ac:dyDescent="0.25">
      <c r="A156" s="214"/>
      <c r="B156" s="216"/>
      <c r="C156" s="216"/>
      <c r="D156" s="216"/>
      <c r="E156" s="216"/>
      <c r="F156" s="220"/>
      <c r="G156" s="218"/>
      <c r="H156" s="218"/>
      <c r="I156" s="220"/>
      <c r="J156" s="219">
        <v>6.805555555555555E-2</v>
      </c>
      <c r="K156" s="219">
        <v>6.9444444444444448E-2</v>
      </c>
      <c r="L156" s="219">
        <f t="shared" si="7"/>
        <v>1.3888888888888978E-3</v>
      </c>
      <c r="M156" s="216"/>
      <c r="N156" s="216"/>
      <c r="O156" s="216"/>
      <c r="P156" s="221"/>
    </row>
    <row r="157" spans="1:16" x14ac:dyDescent="0.25">
      <c r="A157" s="214"/>
      <c r="B157" s="216"/>
      <c r="C157" s="216"/>
      <c r="D157" s="216"/>
      <c r="E157" s="216"/>
      <c r="F157" s="220"/>
      <c r="G157" s="218">
        <v>5</v>
      </c>
      <c r="H157" s="218">
        <v>115</v>
      </c>
      <c r="I157" s="219">
        <v>7.2916666666666671E-2</v>
      </c>
      <c r="J157" s="219">
        <v>7.2916666666666671E-2</v>
      </c>
      <c r="K157" s="219">
        <v>7.4305555555555555E-2</v>
      </c>
      <c r="L157" s="219">
        <f t="shared" si="7"/>
        <v>1.388888888888884E-3</v>
      </c>
      <c r="M157" s="219">
        <f>L157</f>
        <v>1.388888888888884E-3</v>
      </c>
      <c r="N157" s="219">
        <v>7.4305555555555555E-2</v>
      </c>
      <c r="O157" s="216"/>
      <c r="P157" s="221"/>
    </row>
    <row r="158" spans="1:16" x14ac:dyDescent="0.25">
      <c r="A158" s="214"/>
      <c r="B158" s="216"/>
      <c r="C158" s="216"/>
      <c r="D158" s="216"/>
      <c r="E158" s="216"/>
      <c r="F158" s="220"/>
      <c r="G158" s="218">
        <v>6</v>
      </c>
      <c r="H158" s="218">
        <v>116</v>
      </c>
      <c r="I158" s="219">
        <v>7.6388888888888895E-2</v>
      </c>
      <c r="J158" s="219">
        <v>7.6388888888888895E-2</v>
      </c>
      <c r="K158" s="219">
        <v>7.8194444444444441E-2</v>
      </c>
      <c r="L158" s="219">
        <f>K158-J158</f>
        <v>1.8055555555555464E-3</v>
      </c>
      <c r="M158" s="219">
        <f>SUM(L158:L160)</f>
        <v>5.0231481481481377E-3</v>
      </c>
      <c r="N158" s="219">
        <v>9.0972222222222218E-2</v>
      </c>
      <c r="O158" s="216"/>
      <c r="P158" s="224" t="s">
        <v>146</v>
      </c>
    </row>
    <row r="159" spans="1:16" ht="60" x14ac:dyDescent="0.25">
      <c r="A159" s="214"/>
      <c r="B159" s="216"/>
      <c r="C159" s="216"/>
      <c r="D159" s="216"/>
      <c r="E159" s="216"/>
      <c r="F159" s="220"/>
      <c r="G159" s="218"/>
      <c r="H159" s="218"/>
      <c r="I159" s="220"/>
      <c r="J159" s="219">
        <v>7.8472222222222221E-2</v>
      </c>
      <c r="K159" s="219">
        <v>8.099537037037037E-2</v>
      </c>
      <c r="L159" s="219">
        <f>K159-J159</f>
        <v>2.5231481481481494E-3</v>
      </c>
      <c r="M159" s="216"/>
      <c r="N159" s="216"/>
      <c r="O159" s="216"/>
      <c r="P159" s="312" t="s">
        <v>147</v>
      </c>
    </row>
    <row r="160" spans="1:16" x14ac:dyDescent="0.25">
      <c r="A160" s="214"/>
      <c r="B160" s="216"/>
      <c r="C160" s="216"/>
      <c r="D160" s="216"/>
      <c r="E160" s="216"/>
      <c r="F160" s="220"/>
      <c r="G160" s="218"/>
      <c r="H160" s="218"/>
      <c r="I160" s="220"/>
      <c r="J160" s="219">
        <v>9.0277777777777776E-2</v>
      </c>
      <c r="K160" s="219">
        <v>9.0972222222222218E-2</v>
      </c>
      <c r="L160" s="219">
        <f>K160-J160</f>
        <v>6.9444444444444198E-4</v>
      </c>
      <c r="M160" s="216"/>
      <c r="N160" s="216"/>
      <c r="O160" s="216"/>
      <c r="P160" s="312"/>
    </row>
    <row r="161" spans="1:16" ht="45" x14ac:dyDescent="0.25">
      <c r="A161" s="214"/>
      <c r="B161" s="216"/>
      <c r="C161" s="216"/>
      <c r="D161" s="216"/>
      <c r="E161" s="216"/>
      <c r="F161" s="220"/>
      <c r="G161" s="218">
        <v>7</v>
      </c>
      <c r="H161" s="218">
        <v>117</v>
      </c>
      <c r="I161" s="219">
        <v>8.1944444444444445E-2</v>
      </c>
      <c r="J161" s="219">
        <v>8.1944444444444445E-2</v>
      </c>
      <c r="K161" s="219">
        <v>8.2638888888888887E-2</v>
      </c>
      <c r="L161" s="219">
        <f t="shared" si="7"/>
        <v>6.9444444444444198E-4</v>
      </c>
      <c r="M161" s="219">
        <f>SUM(L161:L162)</f>
        <v>1.388888888888884E-3</v>
      </c>
      <c r="N161" s="219">
        <v>8.3333333333333329E-2</v>
      </c>
      <c r="O161" s="216"/>
      <c r="P161" s="312" t="s">
        <v>148</v>
      </c>
    </row>
    <row r="162" spans="1:16" x14ac:dyDescent="0.25">
      <c r="A162" s="214"/>
      <c r="B162" s="216"/>
      <c r="C162" s="216"/>
      <c r="D162" s="216"/>
      <c r="E162" s="216"/>
      <c r="F162" s="220"/>
      <c r="G162" s="218"/>
      <c r="H162" s="218"/>
      <c r="I162" s="220"/>
      <c r="J162" s="219">
        <v>8.2638888888888887E-2</v>
      </c>
      <c r="K162" s="219">
        <v>8.3333333333333329E-2</v>
      </c>
      <c r="L162" s="219">
        <f t="shared" si="7"/>
        <v>6.9444444444444198E-4</v>
      </c>
      <c r="M162" s="216"/>
      <c r="N162" s="216"/>
      <c r="O162" s="216"/>
      <c r="P162" s="221"/>
    </row>
    <row r="163" spans="1:16" x14ac:dyDescent="0.25">
      <c r="A163" s="214"/>
      <c r="B163" s="216"/>
      <c r="C163" s="223"/>
      <c r="D163" s="223"/>
      <c r="E163" s="223"/>
      <c r="F163" s="220"/>
      <c r="G163" s="218">
        <v>8</v>
      </c>
      <c r="H163" s="218">
        <v>118</v>
      </c>
      <c r="I163" s="219">
        <v>8.3333333333333329E-2</v>
      </c>
      <c r="J163" s="219">
        <v>8.3333333333333329E-2</v>
      </c>
      <c r="K163" s="219">
        <v>8.6805555555555552E-2</v>
      </c>
      <c r="L163" s="219">
        <f t="shared" si="7"/>
        <v>3.4722222222222238E-3</v>
      </c>
      <c r="M163" s="219">
        <f>L163</f>
        <v>3.4722222222222238E-3</v>
      </c>
      <c r="N163" s="219">
        <v>8.6805555555555552E-2</v>
      </c>
      <c r="O163" s="216"/>
      <c r="P163" s="221"/>
    </row>
    <row r="164" spans="1:16" x14ac:dyDescent="0.25">
      <c r="A164" s="214"/>
      <c r="B164" s="216"/>
      <c r="C164" s="216"/>
      <c r="D164" s="216"/>
      <c r="E164" s="216"/>
      <c r="F164" s="220"/>
      <c r="G164" s="218">
        <v>9</v>
      </c>
      <c r="H164" s="218">
        <v>119</v>
      </c>
      <c r="I164" s="219">
        <v>8.7499999999999994E-2</v>
      </c>
      <c r="J164" s="219">
        <v>8.7499999999999994E-2</v>
      </c>
      <c r="K164" s="219">
        <v>8.8888888888888892E-2</v>
      </c>
      <c r="L164" s="219">
        <f t="shared" si="7"/>
        <v>1.3888888888888978E-3</v>
      </c>
      <c r="M164" s="219">
        <f>L164</f>
        <v>1.3888888888888978E-3</v>
      </c>
      <c r="N164" s="219">
        <v>8.8888888888888892E-2</v>
      </c>
      <c r="O164" s="216"/>
      <c r="P164" s="221"/>
    </row>
    <row r="165" spans="1:16" x14ac:dyDescent="0.25">
      <c r="A165" s="214"/>
      <c r="B165" s="216"/>
      <c r="C165" s="216"/>
      <c r="D165" s="216"/>
      <c r="E165" s="216"/>
      <c r="F165" s="220"/>
      <c r="G165" s="218">
        <v>10</v>
      </c>
      <c r="H165" s="218">
        <v>120</v>
      </c>
      <c r="I165" s="325">
        <v>9.0972222222222218E-2</v>
      </c>
      <c r="J165" s="325">
        <v>9.0972222222222218E-2</v>
      </c>
      <c r="K165" s="325">
        <v>9.1400462962962961E-2</v>
      </c>
      <c r="L165" s="325">
        <f t="shared" si="7"/>
        <v>4.2824074074074292E-4</v>
      </c>
      <c r="M165" s="325">
        <f>L165</f>
        <v>4.2824074074074292E-4</v>
      </c>
      <c r="N165" s="219">
        <v>9.0972222222222218E-2</v>
      </c>
      <c r="O165" s="216"/>
      <c r="P165" s="221"/>
    </row>
    <row r="166" spans="1:16" x14ac:dyDescent="0.25">
      <c r="A166" s="214"/>
      <c r="B166" s="216"/>
      <c r="C166" s="216"/>
      <c r="D166" s="216"/>
      <c r="E166" s="216"/>
      <c r="F166" s="220"/>
      <c r="G166" s="218">
        <v>11</v>
      </c>
      <c r="H166" s="218">
        <v>121</v>
      </c>
      <c r="I166" s="219">
        <v>9.2361111111111116E-2</v>
      </c>
      <c r="J166" s="219">
        <v>9.2361111111111116E-2</v>
      </c>
      <c r="K166" s="219">
        <v>9.3055555555555558E-2</v>
      </c>
      <c r="L166" s="219">
        <f t="shared" si="7"/>
        <v>6.9444444444444198E-4</v>
      </c>
      <c r="M166" s="219">
        <f>L166</f>
        <v>6.9444444444444198E-4</v>
      </c>
      <c r="N166" s="219">
        <v>9.3055555555555558E-2</v>
      </c>
      <c r="O166" s="216"/>
      <c r="P166" s="221"/>
    </row>
    <row r="167" spans="1:16" ht="30" x14ac:dyDescent="0.25">
      <c r="A167" s="214"/>
      <c r="B167" s="216"/>
      <c r="C167" s="216"/>
      <c r="D167" s="216"/>
      <c r="E167" s="216"/>
      <c r="F167" s="220"/>
      <c r="G167" s="218">
        <v>12</v>
      </c>
      <c r="H167" s="218">
        <v>122</v>
      </c>
      <c r="I167" s="219">
        <v>9.375E-2</v>
      </c>
      <c r="J167" s="219">
        <v>9.375E-2</v>
      </c>
      <c r="K167" s="219">
        <v>9.4444444444444442E-2</v>
      </c>
      <c r="L167" s="219">
        <f t="shared" si="7"/>
        <v>6.9444444444444198E-4</v>
      </c>
      <c r="M167" s="219">
        <f>SUM(L167:L168)</f>
        <v>1.388888888888884E-3</v>
      </c>
      <c r="N167" s="219">
        <v>9.8611111111111108E-2</v>
      </c>
      <c r="O167" s="216"/>
      <c r="P167" s="312" t="s">
        <v>149</v>
      </c>
    </row>
    <row r="168" spans="1:16" x14ac:dyDescent="0.25">
      <c r="A168" s="214"/>
      <c r="B168" s="216"/>
      <c r="C168" s="216"/>
      <c r="D168" s="216"/>
      <c r="E168" s="216"/>
      <c r="F168" s="220"/>
      <c r="G168" s="220"/>
      <c r="H168" s="220"/>
      <c r="I168" s="220"/>
      <c r="J168" s="219">
        <v>9.7916666666666666E-2</v>
      </c>
      <c r="K168" s="219">
        <v>9.8611111111111108E-2</v>
      </c>
      <c r="L168" s="219">
        <f t="shared" si="7"/>
        <v>6.9444444444444198E-4</v>
      </c>
      <c r="M168" s="216"/>
      <c r="N168" s="216"/>
      <c r="O168" s="216"/>
      <c r="P168" s="221"/>
    </row>
    <row r="169" spans="1:16" x14ac:dyDescent="0.25">
      <c r="A169" s="214"/>
      <c r="B169" s="216"/>
      <c r="C169" s="216"/>
      <c r="D169" s="216"/>
      <c r="E169" s="216"/>
      <c r="F169" s="220"/>
      <c r="G169" s="218">
        <v>13</v>
      </c>
      <c r="H169" s="218">
        <v>123</v>
      </c>
      <c r="I169" s="219">
        <v>9.7222222222222224E-2</v>
      </c>
      <c r="J169" s="219">
        <v>9.7222222222222224E-2</v>
      </c>
      <c r="K169" s="219">
        <v>9.7916666666666666E-2</v>
      </c>
      <c r="L169" s="219">
        <f t="shared" si="7"/>
        <v>6.9444444444444198E-4</v>
      </c>
      <c r="M169" s="219">
        <f>L169</f>
        <v>6.9444444444444198E-4</v>
      </c>
      <c r="N169" s="219">
        <v>9.7916666666666666E-2</v>
      </c>
      <c r="O169" s="216"/>
      <c r="P169" s="313" t="s">
        <v>150</v>
      </c>
    </row>
    <row r="170" spans="1:16" x14ac:dyDescent="0.25">
      <c r="A170" s="214"/>
      <c r="B170" s="216"/>
      <c r="C170" s="216"/>
      <c r="D170" s="216"/>
      <c r="E170" s="216"/>
      <c r="F170" s="220"/>
      <c r="G170" s="218">
        <v>14</v>
      </c>
      <c r="H170" s="218">
        <v>124</v>
      </c>
      <c r="I170" s="219">
        <v>9.8611111111111108E-2</v>
      </c>
      <c r="J170" s="219">
        <v>9.8611111111111108E-2</v>
      </c>
      <c r="K170" s="219">
        <v>9.930555555555555E-2</v>
      </c>
      <c r="L170" s="219">
        <f t="shared" si="7"/>
        <v>6.9444444444444198E-4</v>
      </c>
      <c r="M170" s="219">
        <f>L170</f>
        <v>6.9444444444444198E-4</v>
      </c>
      <c r="N170" s="219">
        <v>9.930555555555555E-2</v>
      </c>
      <c r="O170" s="216"/>
      <c r="P170" s="224" t="s">
        <v>151</v>
      </c>
    </row>
    <row r="171" spans="1:16" ht="30" x14ac:dyDescent="0.25">
      <c r="A171" s="266">
        <v>23</v>
      </c>
      <c r="B171" s="297">
        <v>46137</v>
      </c>
      <c r="C171" s="321">
        <v>11</v>
      </c>
      <c r="D171" s="268" t="s">
        <v>38</v>
      </c>
      <c r="E171" s="268" t="s">
        <v>28</v>
      </c>
      <c r="F171" s="315" t="s">
        <v>114</v>
      </c>
      <c r="G171" s="276">
        <v>1</v>
      </c>
      <c r="H171" s="276">
        <v>125</v>
      </c>
      <c r="I171" s="316">
        <v>0.10486111111111111</v>
      </c>
      <c r="J171" s="271">
        <v>0.10486111111111111</v>
      </c>
      <c r="K171" s="271">
        <v>0.10659722222222222</v>
      </c>
      <c r="L171" s="271">
        <f t="shared" si="7"/>
        <v>1.7361111111111049E-3</v>
      </c>
      <c r="M171" s="317">
        <f>L171</f>
        <v>1.7361111111111049E-3</v>
      </c>
      <c r="N171" s="271">
        <v>0.10625</v>
      </c>
      <c r="O171" s="272">
        <v>6</v>
      </c>
      <c r="P171" s="300" t="s">
        <v>128</v>
      </c>
    </row>
    <row r="172" spans="1:16" x14ac:dyDescent="0.25">
      <c r="A172" s="266"/>
      <c r="B172" s="268"/>
      <c r="C172" s="268"/>
      <c r="D172" s="268"/>
      <c r="E172" s="268"/>
      <c r="F172" s="269"/>
      <c r="G172" s="276">
        <v>2</v>
      </c>
      <c r="H172" s="276">
        <v>126</v>
      </c>
      <c r="I172" s="271">
        <v>0.10625</v>
      </c>
      <c r="J172" s="271">
        <v>0.10625</v>
      </c>
      <c r="K172" s="271">
        <v>0.10972222222222222</v>
      </c>
      <c r="L172" s="271">
        <f t="shared" si="7"/>
        <v>3.4722222222222238E-3</v>
      </c>
      <c r="M172" s="271">
        <f>L172</f>
        <v>3.4722222222222238E-3</v>
      </c>
      <c r="N172" s="271">
        <v>0.10972222222222222</v>
      </c>
      <c r="O172" s="268"/>
      <c r="P172" s="273"/>
    </row>
    <row r="173" spans="1:16" ht="45" x14ac:dyDescent="0.25">
      <c r="A173" s="266"/>
      <c r="B173" s="268"/>
      <c r="C173" s="268"/>
      <c r="D173" s="268"/>
      <c r="E173" s="268"/>
      <c r="F173" s="269"/>
      <c r="G173" s="276">
        <v>3</v>
      </c>
      <c r="H173" s="276">
        <v>127</v>
      </c>
      <c r="I173" s="317">
        <v>0.10972222222222222</v>
      </c>
      <c r="J173" s="317">
        <v>0.10972222222222222</v>
      </c>
      <c r="K173" s="317">
        <v>0.10984953703703704</v>
      </c>
      <c r="L173" s="271">
        <f>K173-J173</f>
        <v>1.2731481481481621E-4</v>
      </c>
      <c r="M173" s="358">
        <f>SUM(L173:L174)</f>
        <v>1.1111111111111183E-3</v>
      </c>
      <c r="N173" s="271">
        <v>0.1111111111111111</v>
      </c>
      <c r="O173" s="268"/>
      <c r="P173" s="300" t="s">
        <v>152</v>
      </c>
    </row>
    <row r="174" spans="1:16" x14ac:dyDescent="0.25">
      <c r="A174" s="266"/>
      <c r="B174" s="268"/>
      <c r="C174" s="268"/>
      <c r="D174" s="268"/>
      <c r="E174" s="268"/>
      <c r="F174" s="269"/>
      <c r="G174" s="269"/>
      <c r="H174" s="269"/>
      <c r="I174" s="269"/>
      <c r="J174" s="271">
        <v>0.11041666666666666</v>
      </c>
      <c r="K174" s="271">
        <v>0.11140046296296297</v>
      </c>
      <c r="L174" s="271">
        <f t="shared" si="7"/>
        <v>9.8379629629630205E-4</v>
      </c>
      <c r="M174" s="268"/>
      <c r="N174" s="268"/>
      <c r="O174" s="268"/>
      <c r="P174" s="298" t="s">
        <v>153</v>
      </c>
    </row>
    <row r="175" spans="1:16" x14ac:dyDescent="0.25">
      <c r="A175" s="266"/>
      <c r="B175" s="268"/>
      <c r="C175" s="268"/>
      <c r="D175" s="268"/>
      <c r="E175" s="268"/>
      <c r="F175" s="269"/>
      <c r="G175" s="276">
        <v>4</v>
      </c>
      <c r="H175" s="276">
        <v>128</v>
      </c>
      <c r="I175" s="271">
        <v>0.11388888888888889</v>
      </c>
      <c r="J175" s="271">
        <v>0.11388888888888889</v>
      </c>
      <c r="K175" s="271">
        <v>0.11493055555555555</v>
      </c>
      <c r="L175" s="358">
        <f t="shared" si="7"/>
        <v>1.041666666666663E-3</v>
      </c>
      <c r="M175" s="358">
        <f>L175</f>
        <v>1.041666666666663E-3</v>
      </c>
      <c r="N175" s="271">
        <v>0.11458333333333333</v>
      </c>
      <c r="O175" s="268"/>
      <c r="P175" s="318"/>
    </row>
    <row r="176" spans="1:16" x14ac:dyDescent="0.25">
      <c r="A176" s="266"/>
      <c r="B176" s="268"/>
      <c r="C176" s="272"/>
      <c r="D176" s="272"/>
      <c r="E176" s="272"/>
      <c r="F176" s="269"/>
      <c r="G176" s="276">
        <v>5</v>
      </c>
      <c r="H176" s="276">
        <v>129</v>
      </c>
      <c r="I176" s="271">
        <v>0.11527777777777778</v>
      </c>
      <c r="J176" s="271">
        <v>0.11527777777777778</v>
      </c>
      <c r="K176" s="271">
        <v>0.11597222222222223</v>
      </c>
      <c r="L176" s="271">
        <f t="shared" si="7"/>
        <v>6.9444444444444198E-4</v>
      </c>
      <c r="M176" s="270">
        <f>L176</f>
        <v>6.9444444444444198E-4</v>
      </c>
      <c r="N176" s="270">
        <v>0.11597222222222223</v>
      </c>
      <c r="O176" s="268"/>
      <c r="P176" s="273"/>
    </row>
    <row r="177" spans="1:16" x14ac:dyDescent="0.25">
      <c r="A177" s="266"/>
      <c r="B177" s="268"/>
      <c r="C177" s="268"/>
      <c r="D177" s="268"/>
      <c r="E177" s="268"/>
      <c r="F177" s="269"/>
      <c r="G177" s="276">
        <v>6</v>
      </c>
      <c r="H177" s="276">
        <v>130</v>
      </c>
      <c r="I177" s="271">
        <v>0.11597222222222223</v>
      </c>
      <c r="J177" s="271">
        <v>0.11597222222222223</v>
      </c>
      <c r="K177" s="271">
        <v>0.11666666666666667</v>
      </c>
      <c r="L177" s="271">
        <f t="shared" si="7"/>
        <v>6.9444444444444198E-4</v>
      </c>
      <c r="M177" s="271">
        <f>L177</f>
        <v>6.9444444444444198E-4</v>
      </c>
      <c r="N177" s="271">
        <v>0.11666666666666667</v>
      </c>
      <c r="O177" s="268"/>
      <c r="P177" s="273"/>
    </row>
    <row r="178" spans="1:16" ht="30" x14ac:dyDescent="0.25">
      <c r="A178" s="287">
        <v>24</v>
      </c>
      <c r="B178" s="288">
        <v>46137</v>
      </c>
      <c r="C178" s="322">
        <v>28</v>
      </c>
      <c r="D178" s="290" t="s">
        <v>38</v>
      </c>
      <c r="E178" s="290" t="s">
        <v>28</v>
      </c>
      <c r="F178" s="291" t="s">
        <v>114</v>
      </c>
      <c r="G178" s="292">
        <v>1</v>
      </c>
      <c r="H178" s="292">
        <v>131</v>
      </c>
      <c r="I178" s="293">
        <v>0.12638888888888888</v>
      </c>
      <c r="J178" s="294">
        <v>0.12638888888888888</v>
      </c>
      <c r="K178" s="294">
        <v>0.12708333333333333</v>
      </c>
      <c r="L178" s="294">
        <f t="shared" si="7"/>
        <v>6.9444444444444198E-4</v>
      </c>
      <c r="M178" s="294">
        <f>SUM(L178:L181)</f>
        <v>4.8611111111111216E-3</v>
      </c>
      <c r="N178" s="294">
        <v>0.13194444444444445</v>
      </c>
      <c r="O178" s="295">
        <v>1</v>
      </c>
      <c r="P178" s="361" t="s">
        <v>154</v>
      </c>
    </row>
    <row r="179" spans="1:16" ht="75" x14ac:dyDescent="0.25">
      <c r="A179" s="287"/>
      <c r="B179" s="290"/>
      <c r="C179" s="290"/>
      <c r="D179" s="290"/>
      <c r="E179" s="290"/>
      <c r="F179" s="291"/>
      <c r="G179" s="291"/>
      <c r="H179" s="291"/>
      <c r="I179" s="291"/>
      <c r="J179" s="294">
        <v>0.12777777777777777</v>
      </c>
      <c r="K179" s="294">
        <v>0.12847222222222221</v>
      </c>
      <c r="L179" s="294">
        <f t="shared" si="7"/>
        <v>6.9444444444444198E-4</v>
      </c>
      <c r="M179" s="290"/>
      <c r="N179" s="290"/>
      <c r="O179" s="290"/>
      <c r="P179" s="299" t="s">
        <v>155</v>
      </c>
    </row>
    <row r="180" spans="1:16" x14ac:dyDescent="0.25">
      <c r="A180" s="287"/>
      <c r="B180" s="290"/>
      <c r="C180" s="295"/>
      <c r="D180" s="295"/>
      <c r="E180" s="295"/>
      <c r="F180" s="291"/>
      <c r="G180" s="291"/>
      <c r="H180" s="291"/>
      <c r="I180" s="291"/>
      <c r="J180" s="294">
        <v>0.12847222222222221</v>
      </c>
      <c r="K180" s="294">
        <v>0.12986111111111112</v>
      </c>
      <c r="L180" s="294">
        <f t="shared" si="7"/>
        <v>1.3888888888889117E-3</v>
      </c>
      <c r="M180" s="290"/>
      <c r="N180" s="290"/>
      <c r="O180" s="290"/>
      <c r="P180" s="319" t="s">
        <v>156</v>
      </c>
    </row>
    <row r="181" spans="1:16" x14ac:dyDescent="0.25">
      <c r="A181" s="287"/>
      <c r="B181" s="320"/>
      <c r="C181" s="295"/>
      <c r="D181" s="295"/>
      <c r="E181" s="295"/>
      <c r="F181" s="291"/>
      <c r="G181" s="291"/>
      <c r="H181" s="291"/>
      <c r="I181" s="291"/>
      <c r="J181" s="294">
        <v>0.12986111111111112</v>
      </c>
      <c r="K181" s="294">
        <v>0.13194444444444445</v>
      </c>
      <c r="L181" s="294">
        <f t="shared" si="7"/>
        <v>2.0833333333333259E-3</v>
      </c>
      <c r="M181" s="290"/>
      <c r="N181" s="290"/>
      <c r="O181" s="295"/>
      <c r="P181" s="366" t="s">
        <v>157</v>
      </c>
    </row>
    <row r="182" spans="1:16" x14ac:dyDescent="0.25">
      <c r="A182" s="326">
        <v>25</v>
      </c>
      <c r="B182" s="327">
        <v>46153</v>
      </c>
      <c r="C182" s="328">
        <v>6</v>
      </c>
      <c r="D182" s="329" t="s">
        <v>38</v>
      </c>
      <c r="E182" s="330" t="s">
        <v>39</v>
      </c>
      <c r="F182" s="331" t="s">
        <v>158</v>
      </c>
      <c r="G182" s="332">
        <v>1</v>
      </c>
      <c r="H182" s="332">
        <v>132</v>
      </c>
      <c r="I182" s="333">
        <v>0.44097222222222221</v>
      </c>
      <c r="J182" s="334">
        <v>0.44097222222222221</v>
      </c>
      <c r="K182" s="334">
        <v>0.44166666666666665</v>
      </c>
      <c r="L182" s="334">
        <f t="shared" si="7"/>
        <v>6.9444444444444198E-4</v>
      </c>
      <c r="M182" s="335">
        <f>SUM(L182:L185)</f>
        <v>2.6273148148148739E-3</v>
      </c>
      <c r="N182" s="334">
        <v>0.44444444444444442</v>
      </c>
      <c r="O182" s="336">
        <v>4</v>
      </c>
      <c r="P182" s="337" t="s">
        <v>159</v>
      </c>
    </row>
    <row r="183" spans="1:16" x14ac:dyDescent="0.25">
      <c r="A183" s="326"/>
      <c r="B183" s="327"/>
      <c r="C183" s="329"/>
      <c r="D183" s="329"/>
      <c r="E183" s="329"/>
      <c r="F183" s="331"/>
      <c r="G183" s="331"/>
      <c r="H183" s="331"/>
      <c r="I183" s="333"/>
      <c r="J183" s="334">
        <v>0.44236111111111109</v>
      </c>
      <c r="K183" s="334">
        <v>0.44374999999999998</v>
      </c>
      <c r="L183" s="334">
        <f t="shared" si="7"/>
        <v>1.388888888888884E-3</v>
      </c>
      <c r="M183" s="334"/>
      <c r="N183" s="334"/>
      <c r="O183" s="336"/>
      <c r="P183" s="338" t="s">
        <v>160</v>
      </c>
    </row>
    <row r="184" spans="1:16" x14ac:dyDescent="0.25">
      <c r="A184" s="326"/>
      <c r="B184" s="329"/>
      <c r="C184" s="329"/>
      <c r="D184" s="329"/>
      <c r="E184" s="329"/>
      <c r="F184" s="331"/>
      <c r="G184" s="331"/>
      <c r="H184" s="331"/>
      <c r="I184" s="333"/>
      <c r="J184" s="334">
        <v>0.44374999999999998</v>
      </c>
      <c r="K184" s="334">
        <v>0.44383101851851853</v>
      </c>
      <c r="L184" s="335">
        <f t="shared" si="7"/>
        <v>8.1018518518549687E-5</v>
      </c>
      <c r="M184" s="329"/>
      <c r="N184" s="329"/>
      <c r="O184" s="329"/>
      <c r="P184" s="338" t="s">
        <v>161</v>
      </c>
    </row>
    <row r="185" spans="1:16" x14ac:dyDescent="0.25">
      <c r="A185" s="326"/>
      <c r="B185" s="329"/>
      <c r="C185" s="329"/>
      <c r="D185" s="329"/>
      <c r="E185" s="329"/>
      <c r="F185" s="331"/>
      <c r="G185" s="331"/>
      <c r="H185" s="331"/>
      <c r="I185" s="333"/>
      <c r="J185" s="334">
        <v>0.44444444444444442</v>
      </c>
      <c r="K185" s="334">
        <v>0.44490740740740742</v>
      </c>
      <c r="L185" s="335">
        <f t="shared" si="7"/>
        <v>4.6296296296299833E-4</v>
      </c>
      <c r="M185" s="329"/>
      <c r="N185" s="329"/>
      <c r="O185" s="329"/>
      <c r="P185" s="338" t="s">
        <v>162</v>
      </c>
    </row>
    <row r="186" spans="1:16" x14ac:dyDescent="0.25">
      <c r="A186" s="326"/>
      <c r="B186" s="329"/>
      <c r="C186" s="329"/>
      <c r="D186" s="329"/>
      <c r="E186" s="329"/>
      <c r="F186" s="331"/>
      <c r="G186" s="332">
        <v>2</v>
      </c>
      <c r="H186" s="332">
        <v>133</v>
      </c>
      <c r="I186" s="333">
        <v>0.44722222222222224</v>
      </c>
      <c r="J186" s="334">
        <v>0.44722222222222224</v>
      </c>
      <c r="K186" s="334">
        <v>0.44756944444444446</v>
      </c>
      <c r="L186" s="335">
        <f t="shared" si="7"/>
        <v>3.4722222222222099E-4</v>
      </c>
      <c r="M186" s="339">
        <f>SUM(L186:L187)</f>
        <v>2.0833333333333259E-3</v>
      </c>
      <c r="N186" s="334">
        <v>0.4513888888888889</v>
      </c>
      <c r="O186" s="329"/>
      <c r="P186" s="338" t="s">
        <v>163</v>
      </c>
    </row>
    <row r="187" spans="1:16" x14ac:dyDescent="0.25">
      <c r="A187" s="326"/>
      <c r="B187" s="327"/>
      <c r="C187" s="336"/>
      <c r="D187" s="336"/>
      <c r="E187" s="336"/>
      <c r="F187" s="331"/>
      <c r="G187" s="331"/>
      <c r="H187" s="331"/>
      <c r="I187" s="333"/>
      <c r="J187" s="334">
        <v>0.45</v>
      </c>
      <c r="K187" s="334">
        <v>0.45173611111111112</v>
      </c>
      <c r="L187" s="335">
        <f t="shared" si="7"/>
        <v>1.7361111111111049E-3</v>
      </c>
      <c r="M187" s="334"/>
      <c r="N187" s="334"/>
      <c r="O187" s="336"/>
      <c r="P187" s="338" t="s">
        <v>164</v>
      </c>
    </row>
    <row r="188" spans="1:16" x14ac:dyDescent="0.25">
      <c r="A188" s="326"/>
      <c r="B188" s="329"/>
      <c r="C188" s="329"/>
      <c r="D188" s="329"/>
      <c r="E188" s="329"/>
      <c r="F188" s="331"/>
      <c r="G188" s="332">
        <v>3</v>
      </c>
      <c r="H188" s="332">
        <v>134</v>
      </c>
      <c r="I188" s="333">
        <v>0.44930555555555557</v>
      </c>
      <c r="J188" s="334">
        <v>0.44930555555555557</v>
      </c>
      <c r="K188" s="334">
        <v>0.45</v>
      </c>
      <c r="L188" s="334">
        <f t="shared" si="7"/>
        <v>6.9444444444444198E-4</v>
      </c>
      <c r="M188" s="334">
        <f>L188</f>
        <v>6.9444444444444198E-4</v>
      </c>
      <c r="N188" s="334">
        <v>0.45</v>
      </c>
      <c r="O188" s="329"/>
      <c r="P188" s="338" t="s">
        <v>165</v>
      </c>
    </row>
    <row r="189" spans="1:16" x14ac:dyDescent="0.25">
      <c r="A189" s="326"/>
      <c r="B189" s="329"/>
      <c r="C189" s="329"/>
      <c r="D189" s="329"/>
      <c r="E189" s="329"/>
      <c r="F189" s="331"/>
      <c r="G189" s="332">
        <v>4</v>
      </c>
      <c r="H189" s="332">
        <v>135</v>
      </c>
      <c r="I189" s="333">
        <v>0.46319444444444446</v>
      </c>
      <c r="J189" s="334">
        <v>0.46319444444444446</v>
      </c>
      <c r="K189" s="334">
        <v>0.46388888888888891</v>
      </c>
      <c r="L189" s="334">
        <f t="shared" si="7"/>
        <v>6.9444444444444198E-4</v>
      </c>
      <c r="M189" s="334">
        <f>L189</f>
        <v>6.9444444444444198E-4</v>
      </c>
      <c r="N189" s="334">
        <v>0.46388888888888891</v>
      </c>
      <c r="O189" s="329"/>
      <c r="P189" s="365" t="s">
        <v>166</v>
      </c>
    </row>
    <row r="190" spans="1:16" x14ac:dyDescent="0.25">
      <c r="A190" s="49">
        <v>26</v>
      </c>
      <c r="B190" s="341">
        <v>46153</v>
      </c>
      <c r="C190" s="342">
        <v>1</v>
      </c>
      <c r="D190" s="52" t="s">
        <v>57</v>
      </c>
      <c r="E190" s="52" t="s">
        <v>28</v>
      </c>
      <c r="F190" s="53" t="s">
        <v>114</v>
      </c>
      <c r="G190" s="63">
        <v>1</v>
      </c>
      <c r="H190" s="63">
        <v>136</v>
      </c>
      <c r="I190" s="54">
        <v>9.5138888888888884E-2</v>
      </c>
      <c r="J190" s="55">
        <v>9.5138888888888884E-2</v>
      </c>
      <c r="K190" s="55">
        <v>0.1</v>
      </c>
      <c r="L190" s="55">
        <f t="shared" si="7"/>
        <v>4.8611111111111216E-3</v>
      </c>
      <c r="M190" s="55">
        <f>L190</f>
        <v>4.8611111111111216E-3</v>
      </c>
      <c r="N190" s="55">
        <v>0.1</v>
      </c>
      <c r="O190" s="65">
        <v>12</v>
      </c>
      <c r="P190" s="50" t="s">
        <v>167</v>
      </c>
    </row>
    <row r="191" spans="1:16" x14ac:dyDescent="0.25">
      <c r="A191" s="49"/>
      <c r="B191" s="343"/>
      <c r="C191" s="65"/>
      <c r="D191" s="65"/>
      <c r="E191" s="65"/>
      <c r="F191" s="53"/>
      <c r="G191" s="63">
        <v>2</v>
      </c>
      <c r="H191" s="63">
        <v>137</v>
      </c>
      <c r="I191" s="54">
        <v>0.10694444444444444</v>
      </c>
      <c r="J191" s="55">
        <v>0.10694444444444444</v>
      </c>
      <c r="K191" s="344">
        <v>0.10729166666666666</v>
      </c>
      <c r="L191" s="344">
        <f t="shared" ref="L191:L253" si="8">K191-J191</f>
        <v>3.4722222222222099E-4</v>
      </c>
      <c r="M191" s="344">
        <f>SUM(L191:L192)</f>
        <v>1.2152777777777735E-3</v>
      </c>
      <c r="N191" s="55">
        <v>0.10833333333333334</v>
      </c>
      <c r="O191" s="65"/>
      <c r="P191" s="345" t="s">
        <v>168</v>
      </c>
    </row>
    <row r="192" spans="1:16" x14ac:dyDescent="0.25">
      <c r="A192" s="49"/>
      <c r="B192" s="52"/>
      <c r="C192" s="52"/>
      <c r="D192" s="52"/>
      <c r="E192" s="52"/>
      <c r="F192" s="53"/>
      <c r="G192" s="63"/>
      <c r="H192" s="63"/>
      <c r="I192" s="54"/>
      <c r="J192" s="55">
        <v>0.1076388888888889</v>
      </c>
      <c r="K192" s="344">
        <v>0.10850694444444445</v>
      </c>
      <c r="L192" s="344">
        <f t="shared" si="8"/>
        <v>8.6805555555555247E-4</v>
      </c>
      <c r="M192" s="52"/>
      <c r="N192" s="52"/>
      <c r="O192" s="52"/>
      <c r="P192" s="50"/>
    </row>
    <row r="193" spans="1:16" x14ac:dyDescent="0.25">
      <c r="A193" s="49"/>
      <c r="B193" s="52"/>
      <c r="C193" s="52"/>
      <c r="D193" s="52"/>
      <c r="E193" s="52"/>
      <c r="F193" s="53"/>
      <c r="G193" s="63">
        <v>3</v>
      </c>
      <c r="H193" s="63">
        <v>138</v>
      </c>
      <c r="I193" s="54">
        <v>0.1111111111111111</v>
      </c>
      <c r="J193" s="55">
        <v>0.1111111111111111</v>
      </c>
      <c r="K193" s="55">
        <v>0.11180555555555556</v>
      </c>
      <c r="L193" s="55">
        <f t="shared" si="8"/>
        <v>6.9444444444445586E-4</v>
      </c>
      <c r="M193" s="55">
        <f t="shared" ref="M193:M199" si="9">L193</f>
        <v>6.9444444444445586E-4</v>
      </c>
      <c r="N193" s="55">
        <v>0.11180555555555556</v>
      </c>
      <c r="O193" s="52"/>
      <c r="P193" s="50"/>
    </row>
    <row r="194" spans="1:16" x14ac:dyDescent="0.25">
      <c r="A194" s="49"/>
      <c r="B194" s="343"/>
      <c r="C194" s="65"/>
      <c r="D194" s="65"/>
      <c r="E194" s="65"/>
      <c r="F194" s="53"/>
      <c r="G194" s="63">
        <v>4</v>
      </c>
      <c r="H194" s="63">
        <v>139</v>
      </c>
      <c r="I194" s="54">
        <v>0.11874999999999999</v>
      </c>
      <c r="J194" s="55">
        <v>0.11874999999999999</v>
      </c>
      <c r="K194" s="55">
        <v>0.12013888888888889</v>
      </c>
      <c r="L194" s="55">
        <f t="shared" si="8"/>
        <v>1.3888888888888978E-3</v>
      </c>
      <c r="M194" s="55">
        <f t="shared" si="9"/>
        <v>1.3888888888888978E-3</v>
      </c>
      <c r="N194" s="55">
        <v>0.12013888888888889</v>
      </c>
      <c r="O194" s="65"/>
      <c r="P194" s="50"/>
    </row>
    <row r="195" spans="1:16" x14ac:dyDescent="0.25">
      <c r="A195" s="49"/>
      <c r="B195" s="52"/>
      <c r="C195" s="52"/>
      <c r="D195" s="52"/>
      <c r="E195" s="52"/>
      <c r="F195" s="53"/>
      <c r="G195" s="63">
        <v>5</v>
      </c>
      <c r="H195" s="63">
        <v>140</v>
      </c>
      <c r="I195" s="54">
        <v>0.12013888888888889</v>
      </c>
      <c r="J195" s="55">
        <v>0.12013888888888889</v>
      </c>
      <c r="K195" s="55">
        <v>0.12152777777777778</v>
      </c>
      <c r="L195" s="55">
        <f t="shared" si="8"/>
        <v>1.388888888888884E-3</v>
      </c>
      <c r="M195" s="55">
        <f t="shared" si="9"/>
        <v>1.388888888888884E-3</v>
      </c>
      <c r="N195" s="55">
        <v>0.12152777777777778</v>
      </c>
      <c r="O195" s="52"/>
      <c r="P195" s="50"/>
    </row>
    <row r="196" spans="1:16" x14ac:dyDescent="0.25">
      <c r="A196" s="49"/>
      <c r="B196" s="52"/>
      <c r="C196" s="52"/>
      <c r="D196" s="52"/>
      <c r="E196" s="52"/>
      <c r="F196" s="53"/>
      <c r="G196" s="63">
        <v>6</v>
      </c>
      <c r="H196" s="63">
        <v>141</v>
      </c>
      <c r="I196" s="54">
        <v>0.12222222222222222</v>
      </c>
      <c r="J196" s="55">
        <v>0.12222222222222222</v>
      </c>
      <c r="K196" s="55">
        <v>0.12291666666666666</v>
      </c>
      <c r="L196" s="55">
        <f t="shared" si="8"/>
        <v>6.9444444444444198E-4</v>
      </c>
      <c r="M196" s="55">
        <f t="shared" si="9"/>
        <v>6.9444444444444198E-4</v>
      </c>
      <c r="N196" s="55">
        <v>0.12291666666666666</v>
      </c>
      <c r="O196" s="52"/>
      <c r="P196" s="50"/>
    </row>
    <row r="197" spans="1:16" x14ac:dyDescent="0.25">
      <c r="A197" s="49"/>
      <c r="B197" s="52"/>
      <c r="C197" s="52"/>
      <c r="D197" s="52"/>
      <c r="E197" s="52"/>
      <c r="F197" s="53"/>
      <c r="G197" s="63">
        <v>7</v>
      </c>
      <c r="H197" s="63">
        <v>142</v>
      </c>
      <c r="I197" s="54">
        <v>0.12291666666666666</v>
      </c>
      <c r="J197" s="55">
        <v>0.12291666666666666</v>
      </c>
      <c r="K197" s="55">
        <v>0.12361111111111112</v>
      </c>
      <c r="L197" s="55">
        <f t="shared" si="8"/>
        <v>6.9444444444445586E-4</v>
      </c>
      <c r="M197" s="55">
        <f t="shared" si="9"/>
        <v>6.9444444444445586E-4</v>
      </c>
      <c r="N197" s="55">
        <v>0.12361111111111112</v>
      </c>
      <c r="O197" s="52"/>
      <c r="P197" s="50"/>
    </row>
    <row r="198" spans="1:16" x14ac:dyDescent="0.25">
      <c r="A198" s="49"/>
      <c r="B198" s="52"/>
      <c r="C198" s="52"/>
      <c r="D198" s="52"/>
      <c r="E198" s="52"/>
      <c r="F198" s="53"/>
      <c r="G198" s="63">
        <v>8</v>
      </c>
      <c r="H198" s="63">
        <v>143</v>
      </c>
      <c r="I198" s="54">
        <v>0.12430555555555556</v>
      </c>
      <c r="J198" s="55">
        <v>0.12430555555555556</v>
      </c>
      <c r="K198" s="55">
        <v>0.12743055555555555</v>
      </c>
      <c r="L198" s="55">
        <f t="shared" si="8"/>
        <v>3.1249999999999889E-3</v>
      </c>
      <c r="M198" s="55">
        <f t="shared" si="9"/>
        <v>3.1249999999999889E-3</v>
      </c>
      <c r="N198" s="55">
        <v>0.12708333333333333</v>
      </c>
      <c r="O198" s="52"/>
      <c r="P198" s="50"/>
    </row>
    <row r="199" spans="1:16" x14ac:dyDescent="0.25">
      <c r="A199" s="49"/>
      <c r="B199" s="52"/>
      <c r="C199" s="52"/>
      <c r="D199" s="52"/>
      <c r="E199" s="52"/>
      <c r="F199" s="53"/>
      <c r="G199" s="63">
        <v>9</v>
      </c>
      <c r="H199" s="63">
        <v>144</v>
      </c>
      <c r="I199" s="54">
        <v>0.12777777777777777</v>
      </c>
      <c r="J199" s="55">
        <v>0.12777777777777777</v>
      </c>
      <c r="K199" s="55">
        <v>0.12847222222222221</v>
      </c>
      <c r="L199" s="55">
        <f t="shared" si="8"/>
        <v>6.9444444444444198E-4</v>
      </c>
      <c r="M199" s="55">
        <f t="shared" si="9"/>
        <v>6.9444444444444198E-4</v>
      </c>
      <c r="N199" s="55">
        <v>0.12847222222222221</v>
      </c>
      <c r="O199" s="52"/>
      <c r="P199" s="50"/>
    </row>
    <row r="200" spans="1:16" x14ac:dyDescent="0.25">
      <c r="A200" s="49"/>
      <c r="B200" s="52"/>
      <c r="C200" s="52"/>
      <c r="D200" s="52"/>
      <c r="E200" s="52"/>
      <c r="F200" s="53"/>
      <c r="G200" s="63">
        <v>10</v>
      </c>
      <c r="H200" s="63">
        <v>145</v>
      </c>
      <c r="I200" s="54">
        <v>0.13055555555555556</v>
      </c>
      <c r="J200" s="55">
        <v>0.13055555555555556</v>
      </c>
      <c r="K200" s="55">
        <v>0.13263888888888889</v>
      </c>
      <c r="L200" s="55">
        <f t="shared" si="8"/>
        <v>2.0833333333333259E-3</v>
      </c>
      <c r="M200" s="55">
        <f>SUM(L200:L201)</f>
        <v>3.4722222222222099E-3</v>
      </c>
      <c r="N200" s="55">
        <v>0.14027777777777778</v>
      </c>
      <c r="O200" s="52"/>
      <c r="P200" s="345" t="s">
        <v>169</v>
      </c>
    </row>
    <row r="201" spans="1:16" x14ac:dyDescent="0.25">
      <c r="A201" s="49"/>
      <c r="B201" s="52"/>
      <c r="C201" s="52"/>
      <c r="D201" s="52"/>
      <c r="E201" s="52"/>
      <c r="F201" s="53"/>
      <c r="G201" s="53"/>
      <c r="H201" s="53"/>
      <c r="I201" s="53"/>
      <c r="J201" s="55">
        <v>0.1388888888888889</v>
      </c>
      <c r="K201" s="55">
        <v>0.14027777777777778</v>
      </c>
      <c r="L201" s="55">
        <f t="shared" si="8"/>
        <v>1.388888888888884E-3</v>
      </c>
      <c r="M201" s="52"/>
      <c r="N201" s="52"/>
      <c r="O201" s="52"/>
      <c r="P201" s="363" t="s">
        <v>170</v>
      </c>
    </row>
    <row r="202" spans="1:16" x14ac:dyDescent="0.25">
      <c r="A202" s="49"/>
      <c r="B202" s="52"/>
      <c r="C202" s="52"/>
      <c r="D202" s="52"/>
      <c r="E202" s="52"/>
      <c r="F202" s="53"/>
      <c r="G202" s="63">
        <v>11</v>
      </c>
      <c r="H202" s="63">
        <v>146</v>
      </c>
      <c r="I202" s="54">
        <v>0.1451388888888889</v>
      </c>
      <c r="J202" s="55">
        <v>0.1451388888888889</v>
      </c>
      <c r="K202" s="55">
        <v>0.14583333333333334</v>
      </c>
      <c r="L202" s="55">
        <f t="shared" si="8"/>
        <v>6.9444444444444198E-4</v>
      </c>
      <c r="M202" s="55">
        <f>L202</f>
        <v>6.9444444444444198E-4</v>
      </c>
      <c r="N202" s="55">
        <v>0.14583333333333334</v>
      </c>
      <c r="O202" s="52"/>
      <c r="P202" s="50"/>
    </row>
    <row r="203" spans="1:16" x14ac:dyDescent="0.25">
      <c r="A203" s="346"/>
      <c r="B203" s="347"/>
      <c r="C203" s="63"/>
      <c r="D203" s="63"/>
      <c r="E203" s="63"/>
      <c r="F203" s="53"/>
      <c r="G203" s="63">
        <v>12</v>
      </c>
      <c r="H203" s="63">
        <v>147</v>
      </c>
      <c r="I203" s="54">
        <v>0.14652777777777778</v>
      </c>
      <c r="J203" s="54">
        <v>0.14652777777777778</v>
      </c>
      <c r="K203" s="54">
        <v>0.14722222222222223</v>
      </c>
      <c r="L203" s="55">
        <f t="shared" si="8"/>
        <v>6.9444444444444198E-4</v>
      </c>
      <c r="M203" s="54">
        <f>L203</f>
        <v>6.9444444444444198E-4</v>
      </c>
      <c r="N203" s="54">
        <v>0.14722222222222223</v>
      </c>
      <c r="O203" s="63"/>
      <c r="P203" s="348"/>
    </row>
    <row r="204" spans="1:16" x14ac:dyDescent="0.25">
      <c r="A204" s="349">
        <v>27</v>
      </c>
      <c r="B204" s="350">
        <v>46155</v>
      </c>
      <c r="C204" s="351">
        <v>29</v>
      </c>
      <c r="D204" s="352" t="s">
        <v>38</v>
      </c>
      <c r="E204" s="352" t="s">
        <v>28</v>
      </c>
      <c r="F204" s="353" t="s">
        <v>171</v>
      </c>
      <c r="G204" s="354">
        <v>1</v>
      </c>
      <c r="H204" s="354">
        <v>148</v>
      </c>
      <c r="I204" s="353">
        <v>6.5972222222222224E-2</v>
      </c>
      <c r="J204" s="353">
        <v>6.5972222222222224E-2</v>
      </c>
      <c r="K204" s="353">
        <v>6.6666666666666666E-2</v>
      </c>
      <c r="L204" s="355">
        <f t="shared" si="8"/>
        <v>6.9444444444444198E-4</v>
      </c>
      <c r="M204" s="353">
        <f>L204</f>
        <v>6.9444444444444198E-4</v>
      </c>
      <c r="N204" s="353">
        <v>6.6666666666666666E-2</v>
      </c>
      <c r="O204" s="354">
        <v>1</v>
      </c>
      <c r="P204" s="356" t="s">
        <v>108</v>
      </c>
    </row>
    <row r="205" spans="1:16" ht="30" x14ac:dyDescent="0.25">
      <c r="A205" s="349"/>
      <c r="B205" s="352"/>
      <c r="C205" s="352"/>
      <c r="D205" s="352"/>
      <c r="E205" s="352"/>
      <c r="F205" s="352"/>
      <c r="G205" s="354"/>
      <c r="H205" s="352"/>
      <c r="I205" s="352"/>
      <c r="J205" s="353"/>
      <c r="K205" s="353"/>
      <c r="L205" s="355">
        <f t="shared" si="8"/>
        <v>0</v>
      </c>
      <c r="M205" s="352"/>
      <c r="N205" s="352"/>
      <c r="O205" s="352"/>
      <c r="P205" s="367" t="s">
        <v>172</v>
      </c>
    </row>
    <row r="206" spans="1:16" x14ac:dyDescent="0.25">
      <c r="A206" s="368">
        <v>28</v>
      </c>
      <c r="B206" s="369">
        <v>46155</v>
      </c>
      <c r="C206" s="321">
        <v>4</v>
      </c>
      <c r="D206" s="269" t="s">
        <v>27</v>
      </c>
      <c r="E206" s="269" t="s">
        <v>39</v>
      </c>
      <c r="F206" s="269" t="s">
        <v>171</v>
      </c>
      <c r="G206" s="276">
        <v>1</v>
      </c>
      <c r="H206" s="276">
        <v>149</v>
      </c>
      <c r="I206" s="270">
        <v>7.4305555555555555E-2</v>
      </c>
      <c r="J206" s="270">
        <v>7.4305555555555555E-2</v>
      </c>
      <c r="K206" s="357">
        <v>7.5347222222222218E-2</v>
      </c>
      <c r="L206" s="358">
        <f t="shared" si="8"/>
        <v>1.041666666666663E-3</v>
      </c>
      <c r="M206" s="357">
        <f>L206</f>
        <v>1.041666666666663E-3</v>
      </c>
      <c r="N206" s="270">
        <v>7.4999999999999997E-2</v>
      </c>
      <c r="O206" s="276">
        <v>3</v>
      </c>
      <c r="P206" s="359" t="s">
        <v>106</v>
      </c>
    </row>
    <row r="207" spans="1:16" x14ac:dyDescent="0.25">
      <c r="A207" s="368"/>
      <c r="B207" s="360"/>
      <c r="C207" s="276"/>
      <c r="D207" s="276"/>
      <c r="E207" s="276"/>
      <c r="F207" s="269"/>
      <c r="G207" s="276">
        <v>2</v>
      </c>
      <c r="H207" s="276">
        <v>150</v>
      </c>
      <c r="I207" s="270">
        <v>7.5694444444444439E-2</v>
      </c>
      <c r="J207" s="270">
        <v>7.5694444444444439E-2</v>
      </c>
      <c r="K207" s="357">
        <v>7.6851851851851852E-2</v>
      </c>
      <c r="L207" s="271">
        <f>K207-J207</f>
        <v>1.1574074074074125E-3</v>
      </c>
      <c r="M207" s="270">
        <f>SUM(L207:L208)</f>
        <v>1.9907407407407374E-3</v>
      </c>
      <c r="N207" s="270">
        <v>7.7083333333333337E-2</v>
      </c>
      <c r="O207" s="276"/>
      <c r="P207" s="298" t="s">
        <v>173</v>
      </c>
    </row>
    <row r="208" spans="1:16" x14ac:dyDescent="0.25">
      <c r="A208" s="368"/>
      <c r="B208" s="360"/>
      <c r="C208" s="276"/>
      <c r="D208" s="276"/>
      <c r="E208" s="276"/>
      <c r="F208" s="269"/>
      <c r="G208" s="269"/>
      <c r="H208" s="269"/>
      <c r="I208" s="269"/>
      <c r="J208" s="270">
        <v>7.6388888888888895E-2</v>
      </c>
      <c r="K208" s="270">
        <v>7.722222222222222E-2</v>
      </c>
      <c r="L208" s="271">
        <f>K208-J208</f>
        <v>8.3333333333332482E-4</v>
      </c>
      <c r="M208" s="270"/>
      <c r="N208" s="270"/>
      <c r="O208" s="276"/>
      <c r="P208" s="364" t="s">
        <v>174</v>
      </c>
    </row>
    <row r="209" spans="1:16" x14ac:dyDescent="0.25">
      <c r="A209" s="368"/>
      <c r="B209" s="269"/>
      <c r="C209" s="269"/>
      <c r="D209" s="269"/>
      <c r="E209" s="269"/>
      <c r="F209" s="269"/>
      <c r="G209" s="276">
        <v>3</v>
      </c>
      <c r="H209" s="276">
        <v>151</v>
      </c>
      <c r="I209" s="270">
        <v>7.8472222222222221E-2</v>
      </c>
      <c r="J209" s="270">
        <v>7.8472222222222221E-2</v>
      </c>
      <c r="K209" s="270">
        <v>7.8819444444444442E-2</v>
      </c>
      <c r="L209" s="358">
        <f t="shared" si="8"/>
        <v>3.4722222222222099E-4</v>
      </c>
      <c r="M209" s="357">
        <f>L209</f>
        <v>3.4722222222222099E-4</v>
      </c>
      <c r="N209" s="270">
        <v>7.8472222222222221E-2</v>
      </c>
      <c r="O209" s="269"/>
      <c r="P209" s="359"/>
    </row>
    <row r="210" spans="1:16" x14ac:dyDescent="0.25">
      <c r="A210" s="3"/>
      <c r="J210" s="32"/>
      <c r="K210" s="32"/>
      <c r="L210" s="28">
        <f t="shared" si="8"/>
        <v>0</v>
      </c>
      <c r="P210" s="4"/>
    </row>
    <row r="211" spans="1:16" x14ac:dyDescent="0.25">
      <c r="A211" s="3"/>
      <c r="J211" s="32"/>
      <c r="K211" s="32"/>
      <c r="L211" s="28">
        <f t="shared" si="8"/>
        <v>0</v>
      </c>
      <c r="P211" s="4"/>
    </row>
    <row r="212" spans="1:16" x14ac:dyDescent="0.25">
      <c r="A212" s="3"/>
      <c r="B212" s="31"/>
      <c r="C212" s="33"/>
      <c r="D212" s="33"/>
      <c r="E212" s="33"/>
      <c r="J212" s="32"/>
      <c r="K212" s="32"/>
      <c r="L212" s="28">
        <f t="shared" si="8"/>
        <v>0</v>
      </c>
      <c r="M212" s="32"/>
      <c r="N212" s="32"/>
      <c r="O212" s="33"/>
      <c r="P212" s="4"/>
    </row>
    <row r="213" spans="1:16" x14ac:dyDescent="0.25">
      <c r="A213" s="3"/>
      <c r="C213" s="33"/>
      <c r="D213" s="33"/>
      <c r="E213" s="33"/>
      <c r="J213" s="32"/>
      <c r="K213" s="32"/>
      <c r="L213" s="28">
        <f t="shared" si="8"/>
        <v>0</v>
      </c>
      <c r="P213" s="4"/>
    </row>
    <row r="214" spans="1:16" x14ac:dyDescent="0.25">
      <c r="A214" s="3"/>
      <c r="C214" s="33"/>
      <c r="D214" s="33"/>
      <c r="E214" s="33"/>
      <c r="J214" s="32"/>
      <c r="K214" s="32"/>
      <c r="L214" s="28">
        <f t="shared" si="8"/>
        <v>0</v>
      </c>
      <c r="P214" s="4"/>
    </row>
    <row r="215" spans="1:16" x14ac:dyDescent="0.25">
      <c r="A215" s="3"/>
      <c r="B215" s="31"/>
      <c r="C215" s="33"/>
      <c r="D215" s="33"/>
      <c r="E215" s="33"/>
      <c r="J215" s="32"/>
      <c r="K215" s="32"/>
      <c r="L215" s="28">
        <f t="shared" si="8"/>
        <v>0</v>
      </c>
      <c r="M215" s="32"/>
      <c r="N215" s="32"/>
      <c r="O215" s="33"/>
      <c r="P215" s="4"/>
    </row>
    <row r="216" spans="1:16" x14ac:dyDescent="0.25">
      <c r="A216" s="3"/>
      <c r="C216" s="33"/>
      <c r="D216" s="33"/>
      <c r="E216" s="33"/>
      <c r="J216" s="32"/>
      <c r="K216" s="32"/>
      <c r="L216" s="28">
        <f t="shared" si="8"/>
        <v>0</v>
      </c>
      <c r="P216" s="4"/>
    </row>
    <row r="217" spans="1:16" x14ac:dyDescent="0.25">
      <c r="A217" s="3"/>
      <c r="C217" s="33"/>
      <c r="D217" s="33"/>
      <c r="E217" s="33"/>
      <c r="J217" s="32"/>
      <c r="K217" s="32"/>
      <c r="L217" s="28">
        <f t="shared" si="8"/>
        <v>0</v>
      </c>
      <c r="P217" s="4"/>
    </row>
    <row r="218" spans="1:16" x14ac:dyDescent="0.25">
      <c r="A218" s="3"/>
      <c r="B218" s="31"/>
      <c r="C218" s="33"/>
      <c r="D218" s="33"/>
      <c r="E218" s="33"/>
      <c r="L218" s="28">
        <f t="shared" si="8"/>
        <v>0</v>
      </c>
      <c r="O218" s="33"/>
      <c r="P218" s="4"/>
    </row>
    <row r="219" spans="1:16" x14ac:dyDescent="0.25">
      <c r="A219" s="3"/>
      <c r="B219" s="31"/>
      <c r="C219" s="33"/>
      <c r="D219" s="33"/>
      <c r="E219" s="33"/>
      <c r="J219" s="32"/>
      <c r="K219" s="32"/>
      <c r="L219" s="28">
        <f t="shared" si="8"/>
        <v>0</v>
      </c>
      <c r="M219" s="32"/>
      <c r="N219" s="32"/>
      <c r="O219" s="33"/>
      <c r="P219" s="4"/>
    </row>
    <row r="220" spans="1:16" x14ac:dyDescent="0.25">
      <c r="A220" s="3"/>
      <c r="J220" s="32"/>
      <c r="K220" s="32"/>
      <c r="L220" s="28">
        <f t="shared" si="8"/>
        <v>0</v>
      </c>
      <c r="P220" s="4"/>
    </row>
    <row r="221" spans="1:16" x14ac:dyDescent="0.25">
      <c r="A221" s="3"/>
      <c r="J221" s="32"/>
      <c r="K221" s="32"/>
      <c r="L221" s="28">
        <f t="shared" si="8"/>
        <v>0</v>
      </c>
      <c r="P221" s="4"/>
    </row>
    <row r="222" spans="1:16" x14ac:dyDescent="0.25">
      <c r="A222" s="3"/>
      <c r="B222" s="31"/>
      <c r="C222" s="33"/>
      <c r="D222" s="33"/>
      <c r="E222" s="33"/>
      <c r="J222" s="32"/>
      <c r="K222" s="32"/>
      <c r="L222" s="28">
        <f t="shared" si="8"/>
        <v>0</v>
      </c>
      <c r="M222" s="32"/>
      <c r="N222" s="32"/>
      <c r="O222" s="33"/>
      <c r="P222" s="4"/>
    </row>
    <row r="223" spans="1:16" x14ac:dyDescent="0.25">
      <c r="A223" s="3"/>
      <c r="J223" s="32"/>
      <c r="K223" s="32"/>
      <c r="L223" s="28">
        <f t="shared" si="8"/>
        <v>0</v>
      </c>
      <c r="P223" s="4"/>
    </row>
    <row r="224" spans="1:16" x14ac:dyDescent="0.25">
      <c r="A224" s="3"/>
      <c r="J224" s="32"/>
      <c r="K224" s="32"/>
      <c r="L224" s="28">
        <f t="shared" si="8"/>
        <v>0</v>
      </c>
      <c r="P224" s="4"/>
    </row>
    <row r="225" spans="1:16" x14ac:dyDescent="0.25">
      <c r="A225" s="3"/>
      <c r="B225" s="31"/>
      <c r="C225" s="33"/>
      <c r="D225" s="33"/>
      <c r="E225" s="33"/>
      <c r="L225" s="28">
        <f t="shared" si="8"/>
        <v>0</v>
      </c>
      <c r="O225" s="33"/>
      <c r="P225" s="4"/>
    </row>
    <row r="226" spans="1:16" x14ac:dyDescent="0.25">
      <c r="A226" s="3"/>
      <c r="B226" s="31"/>
      <c r="C226" s="33"/>
      <c r="D226" s="33"/>
      <c r="E226" s="33"/>
      <c r="J226" s="32"/>
      <c r="K226" s="32"/>
      <c r="L226" s="28">
        <f t="shared" si="8"/>
        <v>0</v>
      </c>
      <c r="M226" s="32"/>
      <c r="N226" s="32"/>
      <c r="O226" s="33"/>
      <c r="P226" s="4"/>
    </row>
    <row r="227" spans="1:16" x14ac:dyDescent="0.25">
      <c r="A227" s="3"/>
      <c r="J227" s="32"/>
      <c r="K227" s="32"/>
      <c r="L227" s="28">
        <f t="shared" si="8"/>
        <v>0</v>
      </c>
      <c r="P227" s="4"/>
    </row>
    <row r="228" spans="1:16" x14ac:dyDescent="0.25">
      <c r="A228" s="3"/>
      <c r="B228" s="31"/>
      <c r="C228" s="33"/>
      <c r="D228" s="33"/>
      <c r="E228" s="33"/>
      <c r="L228" s="28">
        <f t="shared" si="8"/>
        <v>0</v>
      </c>
      <c r="O228" s="33"/>
      <c r="P228" s="4"/>
    </row>
    <row r="229" spans="1:16" x14ac:dyDescent="0.25">
      <c r="A229" s="3"/>
      <c r="B229" s="31"/>
      <c r="C229" s="33"/>
      <c r="D229" s="33"/>
      <c r="E229" s="33"/>
      <c r="J229" s="32"/>
      <c r="K229" s="32"/>
      <c r="L229" s="28">
        <f t="shared" si="8"/>
        <v>0</v>
      </c>
      <c r="O229" s="33"/>
      <c r="P229" s="4"/>
    </row>
    <row r="230" spans="1:16" x14ac:dyDescent="0.25">
      <c r="A230" s="3"/>
      <c r="L230" s="28">
        <f t="shared" si="8"/>
        <v>0</v>
      </c>
      <c r="P230" s="4"/>
    </row>
    <row r="231" spans="1:16" x14ac:dyDescent="0.25">
      <c r="A231" s="3"/>
      <c r="B231" s="31"/>
      <c r="L231" s="28">
        <f t="shared" si="8"/>
        <v>0</v>
      </c>
      <c r="P231" s="4"/>
    </row>
    <row r="232" spans="1:16" x14ac:dyDescent="0.25">
      <c r="A232" s="3"/>
      <c r="L232" s="28">
        <f t="shared" si="8"/>
        <v>0</v>
      </c>
      <c r="P232" s="4"/>
    </row>
    <row r="233" spans="1:16" x14ac:dyDescent="0.25">
      <c r="A233" s="3"/>
      <c r="L233" s="28">
        <f t="shared" si="8"/>
        <v>0</v>
      </c>
      <c r="P233" s="4"/>
    </row>
    <row r="234" spans="1:16" x14ac:dyDescent="0.25">
      <c r="A234" s="3"/>
      <c r="L234" s="28">
        <f t="shared" si="8"/>
        <v>0</v>
      </c>
      <c r="P234" s="4"/>
    </row>
    <row r="235" spans="1:16" x14ac:dyDescent="0.25">
      <c r="A235" s="3"/>
      <c r="L235" s="28">
        <f t="shared" si="8"/>
        <v>0</v>
      </c>
      <c r="P235" s="4"/>
    </row>
    <row r="236" spans="1:16" x14ac:dyDescent="0.25">
      <c r="A236" s="3"/>
      <c r="L236" s="28">
        <f t="shared" si="8"/>
        <v>0</v>
      </c>
      <c r="P236" s="4"/>
    </row>
    <row r="237" spans="1:16" x14ac:dyDescent="0.25">
      <c r="A237" s="3"/>
      <c r="L237" s="28">
        <f t="shared" si="8"/>
        <v>0</v>
      </c>
      <c r="P237" s="4"/>
    </row>
    <row r="238" spans="1:16" x14ac:dyDescent="0.25">
      <c r="A238" s="3"/>
      <c r="L238" s="28">
        <f t="shared" si="8"/>
        <v>0</v>
      </c>
      <c r="P238" s="4"/>
    </row>
    <row r="239" spans="1:16" x14ac:dyDescent="0.25">
      <c r="A239" s="3"/>
      <c r="L239" s="28">
        <f t="shared" si="8"/>
        <v>0</v>
      </c>
      <c r="P239" s="4"/>
    </row>
    <row r="240" spans="1:16" x14ac:dyDescent="0.25">
      <c r="A240" s="3"/>
      <c r="L240" s="28">
        <f t="shared" si="8"/>
        <v>0</v>
      </c>
      <c r="P240" s="4"/>
    </row>
    <row r="241" spans="1:16" x14ac:dyDescent="0.25">
      <c r="A241" s="3"/>
      <c r="L241" s="28">
        <f t="shared" si="8"/>
        <v>0</v>
      </c>
      <c r="P241" s="4"/>
    </row>
    <row r="242" spans="1:16" x14ac:dyDescent="0.25">
      <c r="A242" s="3"/>
      <c r="L242" s="28">
        <f t="shared" si="8"/>
        <v>0</v>
      </c>
      <c r="P242" s="4"/>
    </row>
    <row r="243" spans="1:16" x14ac:dyDescent="0.25">
      <c r="A243" s="3"/>
      <c r="L243" s="28">
        <f t="shared" si="8"/>
        <v>0</v>
      </c>
      <c r="P243" s="4"/>
    </row>
    <row r="244" spans="1:16" x14ac:dyDescent="0.25">
      <c r="A244" s="3"/>
      <c r="L244" s="28">
        <f t="shared" si="8"/>
        <v>0</v>
      </c>
      <c r="P244" s="4"/>
    </row>
    <row r="245" spans="1:16" x14ac:dyDescent="0.25">
      <c r="A245" s="3"/>
      <c r="L245" s="28">
        <f t="shared" si="8"/>
        <v>0</v>
      </c>
      <c r="P245" s="4"/>
    </row>
    <row r="246" spans="1:16" x14ac:dyDescent="0.25">
      <c r="A246" s="3"/>
      <c r="L246" s="28">
        <f t="shared" si="8"/>
        <v>0</v>
      </c>
      <c r="P246" s="4"/>
    </row>
    <row r="247" spans="1:16" x14ac:dyDescent="0.25">
      <c r="A247" s="3"/>
      <c r="L247" s="28">
        <f t="shared" si="8"/>
        <v>0</v>
      </c>
      <c r="P247" s="4"/>
    </row>
    <row r="248" spans="1:16" x14ac:dyDescent="0.25">
      <c r="A248" s="3"/>
      <c r="L248" s="28">
        <f t="shared" si="8"/>
        <v>0</v>
      </c>
      <c r="P248" s="4"/>
    </row>
    <row r="249" spans="1:16" x14ac:dyDescent="0.25">
      <c r="A249" s="3"/>
      <c r="L249" s="28">
        <f t="shared" si="8"/>
        <v>0</v>
      </c>
      <c r="P249" s="4"/>
    </row>
    <row r="250" spans="1:16" x14ac:dyDescent="0.25">
      <c r="A250" s="3"/>
      <c r="L250" s="28">
        <f t="shared" si="8"/>
        <v>0</v>
      </c>
      <c r="P250" s="4"/>
    </row>
    <row r="251" spans="1:16" x14ac:dyDescent="0.25">
      <c r="A251" s="3"/>
      <c r="L251" s="28">
        <f t="shared" si="8"/>
        <v>0</v>
      </c>
      <c r="P251" s="4"/>
    </row>
    <row r="252" spans="1:16" x14ac:dyDescent="0.25">
      <c r="A252" s="3"/>
      <c r="L252" s="28">
        <f t="shared" si="8"/>
        <v>0</v>
      </c>
      <c r="P252" s="4"/>
    </row>
    <row r="253" spans="1:16" x14ac:dyDescent="0.25">
      <c r="A253" s="3"/>
      <c r="L253" s="28">
        <f t="shared" si="8"/>
        <v>0</v>
      </c>
      <c r="P253" s="4"/>
    </row>
    <row r="254" spans="1:16" x14ac:dyDescent="0.25">
      <c r="A254" s="3"/>
      <c r="L254" s="32">
        <f t="shared" ref="L254:L280" si="10">K254-J254</f>
        <v>0</v>
      </c>
      <c r="P254" s="4"/>
    </row>
    <row r="255" spans="1:16" x14ac:dyDescent="0.25">
      <c r="A255" s="3"/>
      <c r="L255" s="32">
        <f t="shared" si="10"/>
        <v>0</v>
      </c>
      <c r="P255" s="4"/>
    </row>
    <row r="256" spans="1:16" x14ac:dyDescent="0.25">
      <c r="A256" s="3"/>
      <c r="L256" s="32">
        <f t="shared" si="10"/>
        <v>0</v>
      </c>
      <c r="P256" s="4"/>
    </row>
    <row r="257" spans="1:16" x14ac:dyDescent="0.25">
      <c r="A257" s="3"/>
      <c r="L257" s="32">
        <f t="shared" si="10"/>
        <v>0</v>
      </c>
      <c r="P257" s="4"/>
    </row>
    <row r="258" spans="1:16" x14ac:dyDescent="0.25">
      <c r="A258" s="3"/>
      <c r="L258" s="32">
        <f t="shared" si="10"/>
        <v>0</v>
      </c>
      <c r="P258" s="4"/>
    </row>
    <row r="259" spans="1:16" x14ac:dyDescent="0.25">
      <c r="A259" s="3"/>
      <c r="L259" s="32">
        <f t="shared" si="10"/>
        <v>0</v>
      </c>
      <c r="P259" s="4"/>
    </row>
    <row r="260" spans="1:16" x14ac:dyDescent="0.25">
      <c r="A260" s="3"/>
      <c r="L260" s="32">
        <f t="shared" si="10"/>
        <v>0</v>
      </c>
      <c r="P260" s="4"/>
    </row>
    <row r="261" spans="1:16" x14ac:dyDescent="0.25">
      <c r="A261" s="3"/>
      <c r="L261" s="32">
        <f t="shared" si="10"/>
        <v>0</v>
      </c>
      <c r="P261" s="4"/>
    </row>
    <row r="262" spans="1:16" x14ac:dyDescent="0.25">
      <c r="A262" s="3"/>
      <c r="L262" s="32">
        <f t="shared" si="10"/>
        <v>0</v>
      </c>
      <c r="P262" s="4"/>
    </row>
    <row r="263" spans="1:16" x14ac:dyDescent="0.25">
      <c r="A263" s="3"/>
      <c r="L263" s="32">
        <f t="shared" si="10"/>
        <v>0</v>
      </c>
      <c r="P263" s="4"/>
    </row>
    <row r="264" spans="1:16" x14ac:dyDescent="0.25">
      <c r="A264" s="3"/>
      <c r="L264" s="32">
        <f t="shared" si="10"/>
        <v>0</v>
      </c>
      <c r="P264" s="4"/>
    </row>
    <row r="265" spans="1:16" x14ac:dyDescent="0.25">
      <c r="A265" s="3"/>
      <c r="L265" s="32">
        <f t="shared" si="10"/>
        <v>0</v>
      </c>
      <c r="P265" s="4"/>
    </row>
    <row r="266" spans="1:16" x14ac:dyDescent="0.25">
      <c r="A266" s="3"/>
      <c r="L266" s="32">
        <f t="shared" si="10"/>
        <v>0</v>
      </c>
      <c r="P266" s="4"/>
    </row>
    <row r="267" spans="1:16" x14ac:dyDescent="0.25">
      <c r="A267" s="3"/>
      <c r="L267" s="32">
        <f t="shared" si="10"/>
        <v>0</v>
      </c>
      <c r="P267" s="4"/>
    </row>
    <row r="268" spans="1:16" x14ac:dyDescent="0.25">
      <c r="A268" s="3"/>
      <c r="L268" s="32">
        <f t="shared" si="10"/>
        <v>0</v>
      </c>
      <c r="P268" s="4"/>
    </row>
    <row r="269" spans="1:16" x14ac:dyDescent="0.25">
      <c r="A269" s="3"/>
      <c r="L269" s="32">
        <f t="shared" si="10"/>
        <v>0</v>
      </c>
      <c r="P269" s="4"/>
    </row>
    <row r="270" spans="1:16" x14ac:dyDescent="0.25">
      <c r="A270" s="3"/>
      <c r="L270" s="32">
        <f t="shared" si="10"/>
        <v>0</v>
      </c>
      <c r="P270" s="4"/>
    </row>
    <row r="271" spans="1:16" x14ac:dyDescent="0.25">
      <c r="A271" s="3"/>
      <c r="L271" s="32">
        <f t="shared" si="10"/>
        <v>0</v>
      </c>
      <c r="P271" s="4"/>
    </row>
    <row r="272" spans="1:16" x14ac:dyDescent="0.25">
      <c r="A272" s="3"/>
      <c r="L272" s="32">
        <f t="shared" si="10"/>
        <v>0</v>
      </c>
      <c r="P272" s="4"/>
    </row>
    <row r="273" spans="1:16" x14ac:dyDescent="0.25">
      <c r="A273" s="3"/>
      <c r="L273" s="32">
        <f t="shared" si="10"/>
        <v>0</v>
      </c>
      <c r="P273" s="4"/>
    </row>
    <row r="274" spans="1:16" x14ac:dyDescent="0.25">
      <c r="A274" s="3"/>
      <c r="L274" s="32">
        <f t="shared" si="10"/>
        <v>0</v>
      </c>
      <c r="P274" s="4"/>
    </row>
    <row r="275" spans="1:16" x14ac:dyDescent="0.25">
      <c r="A275" s="3"/>
      <c r="L275" s="32">
        <f t="shared" si="10"/>
        <v>0</v>
      </c>
      <c r="P275" s="4"/>
    </row>
    <row r="276" spans="1:16" x14ac:dyDescent="0.25">
      <c r="A276" s="3"/>
      <c r="L276" s="32">
        <f t="shared" si="10"/>
        <v>0</v>
      </c>
      <c r="P276" s="4"/>
    </row>
    <row r="277" spans="1:16" x14ac:dyDescent="0.25">
      <c r="A277" s="3"/>
      <c r="L277" s="32">
        <f t="shared" si="10"/>
        <v>0</v>
      </c>
      <c r="P277" s="4"/>
    </row>
    <row r="278" spans="1:16" x14ac:dyDescent="0.25">
      <c r="A278" s="3"/>
      <c r="L278" s="32">
        <f t="shared" si="10"/>
        <v>0</v>
      </c>
      <c r="P278" s="4"/>
    </row>
    <row r="279" spans="1:16" x14ac:dyDescent="0.25">
      <c r="A279" s="3"/>
      <c r="L279" s="32">
        <f t="shared" si="10"/>
        <v>0</v>
      </c>
      <c r="P279" s="4"/>
    </row>
    <row r="280" spans="1:16" x14ac:dyDescent="0.25">
      <c r="A280" s="3"/>
      <c r="L280" s="32">
        <f t="shared" si="10"/>
        <v>0</v>
      </c>
      <c r="P280" s="4"/>
    </row>
    <row r="281" spans="1:16" x14ac:dyDescent="0.25">
      <c r="A281" s="3"/>
      <c r="L281" s="32">
        <f t="shared" ref="L281:L329" si="11">K281-J281</f>
        <v>0</v>
      </c>
      <c r="P281" s="4"/>
    </row>
    <row r="282" spans="1:16" x14ac:dyDescent="0.25">
      <c r="A282" s="3"/>
      <c r="L282" s="32">
        <f t="shared" si="11"/>
        <v>0</v>
      </c>
      <c r="P282" s="4"/>
    </row>
    <row r="283" spans="1:16" x14ac:dyDescent="0.25">
      <c r="A283" s="3"/>
      <c r="L283" s="32">
        <f t="shared" si="11"/>
        <v>0</v>
      </c>
      <c r="P283" s="4"/>
    </row>
    <row r="284" spans="1:16" x14ac:dyDescent="0.25">
      <c r="A284" s="3"/>
      <c r="L284" s="32">
        <f t="shared" si="11"/>
        <v>0</v>
      </c>
      <c r="P284" s="4"/>
    </row>
    <row r="285" spans="1:16" x14ac:dyDescent="0.25">
      <c r="A285" s="3"/>
      <c r="L285" s="32">
        <f t="shared" si="11"/>
        <v>0</v>
      </c>
      <c r="P285" s="4"/>
    </row>
    <row r="286" spans="1:16" x14ac:dyDescent="0.25">
      <c r="A286" s="3"/>
      <c r="L286" s="32">
        <f t="shared" si="11"/>
        <v>0</v>
      </c>
      <c r="P286" s="4"/>
    </row>
    <row r="287" spans="1:16" x14ac:dyDescent="0.25">
      <c r="A287" s="3"/>
      <c r="L287" s="32">
        <f t="shared" si="11"/>
        <v>0</v>
      </c>
      <c r="P287" s="4"/>
    </row>
    <row r="288" spans="1:16" x14ac:dyDescent="0.25">
      <c r="A288" s="3"/>
      <c r="L288" s="32">
        <f t="shared" si="11"/>
        <v>0</v>
      </c>
      <c r="P288" s="4"/>
    </row>
    <row r="289" spans="1:16" x14ac:dyDescent="0.25">
      <c r="A289" s="3"/>
      <c r="L289" s="32">
        <f t="shared" si="11"/>
        <v>0</v>
      </c>
      <c r="P289" s="4"/>
    </row>
    <row r="290" spans="1:16" x14ac:dyDescent="0.25">
      <c r="A290" s="3"/>
      <c r="L290" s="32">
        <f t="shared" si="11"/>
        <v>0</v>
      </c>
      <c r="P290" s="4"/>
    </row>
    <row r="291" spans="1:16" x14ac:dyDescent="0.25">
      <c r="A291" s="3"/>
      <c r="L291" s="32">
        <f t="shared" si="11"/>
        <v>0</v>
      </c>
      <c r="P291" s="4"/>
    </row>
    <row r="292" spans="1:16" x14ac:dyDescent="0.25">
      <c r="A292" s="3"/>
      <c r="L292" s="32">
        <f t="shared" si="11"/>
        <v>0</v>
      </c>
      <c r="P292" s="4"/>
    </row>
    <row r="293" spans="1:16" x14ac:dyDescent="0.25">
      <c r="A293" s="3"/>
      <c r="L293" s="32">
        <f t="shared" si="11"/>
        <v>0</v>
      </c>
      <c r="P293" s="4"/>
    </row>
    <row r="294" spans="1:16" x14ac:dyDescent="0.25">
      <c r="A294" s="3"/>
      <c r="L294" s="32">
        <f t="shared" si="11"/>
        <v>0</v>
      </c>
      <c r="P294" s="4"/>
    </row>
    <row r="295" spans="1:16" x14ac:dyDescent="0.25">
      <c r="A295" s="3"/>
      <c r="L295" s="32">
        <f t="shared" si="11"/>
        <v>0</v>
      </c>
      <c r="P295" s="4"/>
    </row>
    <row r="296" spans="1:16" x14ac:dyDescent="0.25">
      <c r="A296" s="3"/>
      <c r="L296" s="32">
        <f t="shared" si="11"/>
        <v>0</v>
      </c>
      <c r="P296" s="4"/>
    </row>
    <row r="297" spans="1:16" x14ac:dyDescent="0.25">
      <c r="A297" s="3"/>
      <c r="L297" s="32">
        <f t="shared" si="11"/>
        <v>0</v>
      </c>
      <c r="P297" s="4"/>
    </row>
    <row r="298" spans="1:16" x14ac:dyDescent="0.25">
      <c r="A298" s="3"/>
      <c r="L298" s="32">
        <f t="shared" si="11"/>
        <v>0</v>
      </c>
      <c r="P298" s="4"/>
    </row>
    <row r="299" spans="1:16" x14ac:dyDescent="0.25">
      <c r="A299" s="3"/>
      <c r="L299" s="32">
        <f t="shared" si="11"/>
        <v>0</v>
      </c>
      <c r="P299" s="4"/>
    </row>
    <row r="300" spans="1:16" x14ac:dyDescent="0.25">
      <c r="A300" s="3"/>
      <c r="L300" s="32">
        <f t="shared" si="11"/>
        <v>0</v>
      </c>
      <c r="P300" s="4"/>
    </row>
    <row r="301" spans="1:16" x14ac:dyDescent="0.25">
      <c r="A301" s="3"/>
      <c r="L301" s="32">
        <f t="shared" si="11"/>
        <v>0</v>
      </c>
      <c r="P301" s="4"/>
    </row>
    <row r="302" spans="1:16" x14ac:dyDescent="0.25">
      <c r="A302" s="3"/>
      <c r="L302" s="32">
        <f t="shared" si="11"/>
        <v>0</v>
      </c>
      <c r="P302" s="4"/>
    </row>
    <row r="303" spans="1:16" x14ac:dyDescent="0.25">
      <c r="A303" s="3"/>
      <c r="L303" s="32">
        <f t="shared" si="11"/>
        <v>0</v>
      </c>
      <c r="P303" s="4"/>
    </row>
    <row r="304" spans="1:16" x14ac:dyDescent="0.25">
      <c r="A304" s="3"/>
      <c r="L304" s="32">
        <f t="shared" si="11"/>
        <v>0</v>
      </c>
      <c r="P304" s="4"/>
    </row>
    <row r="305" spans="1:16" x14ac:dyDescent="0.25">
      <c r="A305" s="3"/>
      <c r="L305" s="32">
        <f t="shared" si="11"/>
        <v>0</v>
      </c>
      <c r="P305" s="4"/>
    </row>
    <row r="306" spans="1:16" x14ac:dyDescent="0.25">
      <c r="A306" s="3"/>
      <c r="L306" s="32">
        <f t="shared" si="11"/>
        <v>0</v>
      </c>
      <c r="P306" s="4"/>
    </row>
    <row r="307" spans="1:16" x14ac:dyDescent="0.25">
      <c r="A307" s="3"/>
      <c r="L307" s="32">
        <f t="shared" si="11"/>
        <v>0</v>
      </c>
      <c r="P307" s="4"/>
    </row>
    <row r="308" spans="1:16" x14ac:dyDescent="0.25">
      <c r="A308" s="3"/>
      <c r="L308" s="32">
        <f t="shared" si="11"/>
        <v>0</v>
      </c>
      <c r="P308" s="4"/>
    </row>
    <row r="309" spans="1:16" x14ac:dyDescent="0.25">
      <c r="A309" s="3"/>
      <c r="L309" s="32">
        <f t="shared" si="11"/>
        <v>0</v>
      </c>
      <c r="P309" s="4"/>
    </row>
    <row r="310" spans="1:16" x14ac:dyDescent="0.25">
      <c r="A310" s="3"/>
      <c r="L310" s="32">
        <f t="shared" si="11"/>
        <v>0</v>
      </c>
      <c r="P310" s="4"/>
    </row>
    <row r="311" spans="1:16" x14ac:dyDescent="0.25">
      <c r="A311" s="3"/>
      <c r="L311" s="32">
        <f t="shared" si="11"/>
        <v>0</v>
      </c>
      <c r="P311" s="4"/>
    </row>
    <row r="312" spans="1:16" x14ac:dyDescent="0.25">
      <c r="A312" s="3"/>
      <c r="L312" s="32">
        <f t="shared" si="11"/>
        <v>0</v>
      </c>
      <c r="P312" s="4"/>
    </row>
    <row r="313" spans="1:16" x14ac:dyDescent="0.25">
      <c r="A313" s="3"/>
      <c r="L313" s="32">
        <f t="shared" si="11"/>
        <v>0</v>
      </c>
      <c r="P313" s="4"/>
    </row>
    <row r="314" spans="1:16" x14ac:dyDescent="0.25">
      <c r="A314" s="3"/>
      <c r="L314" s="32">
        <f t="shared" si="11"/>
        <v>0</v>
      </c>
      <c r="P314" s="4"/>
    </row>
    <row r="315" spans="1:16" x14ac:dyDescent="0.25">
      <c r="A315" s="3"/>
      <c r="L315" s="32">
        <f t="shared" si="11"/>
        <v>0</v>
      </c>
      <c r="P315" s="4"/>
    </row>
    <row r="316" spans="1:16" x14ac:dyDescent="0.25">
      <c r="A316" s="3"/>
      <c r="L316" s="32">
        <f t="shared" si="11"/>
        <v>0</v>
      </c>
      <c r="P316" s="4"/>
    </row>
    <row r="317" spans="1:16" x14ac:dyDescent="0.25">
      <c r="A317" s="3"/>
      <c r="L317" s="32">
        <f t="shared" si="11"/>
        <v>0</v>
      </c>
      <c r="P317" s="4"/>
    </row>
    <row r="318" spans="1:16" x14ac:dyDescent="0.25">
      <c r="A318" s="3"/>
      <c r="L318" s="32">
        <f t="shared" si="11"/>
        <v>0</v>
      </c>
      <c r="P318" s="4"/>
    </row>
    <row r="319" spans="1:16" x14ac:dyDescent="0.25">
      <c r="A319" s="3"/>
      <c r="L319" s="32">
        <f t="shared" si="11"/>
        <v>0</v>
      </c>
      <c r="P319" s="4"/>
    </row>
    <row r="320" spans="1:16" x14ac:dyDescent="0.25">
      <c r="A320" s="3"/>
      <c r="L320" s="32">
        <f t="shared" si="11"/>
        <v>0</v>
      </c>
      <c r="P320" s="4"/>
    </row>
    <row r="321" spans="1:16" x14ac:dyDescent="0.25">
      <c r="A321" s="3"/>
      <c r="L321" s="32">
        <f t="shared" si="11"/>
        <v>0</v>
      </c>
      <c r="P321" s="4"/>
    </row>
    <row r="322" spans="1:16" x14ac:dyDescent="0.25">
      <c r="A322" s="3"/>
      <c r="L322" s="32">
        <f t="shared" si="11"/>
        <v>0</v>
      </c>
      <c r="P322" s="4"/>
    </row>
    <row r="323" spans="1:16" x14ac:dyDescent="0.25">
      <c r="A323" s="3"/>
      <c r="L323" s="32">
        <f t="shared" si="11"/>
        <v>0</v>
      </c>
      <c r="P323" s="4"/>
    </row>
    <row r="324" spans="1:16" x14ac:dyDescent="0.25">
      <c r="A324" s="3"/>
      <c r="L324" s="32">
        <f t="shared" si="11"/>
        <v>0</v>
      </c>
      <c r="P324" s="4"/>
    </row>
    <row r="325" spans="1:16" x14ac:dyDescent="0.25">
      <c r="A325" s="3"/>
      <c r="L325" s="32">
        <f t="shared" si="11"/>
        <v>0</v>
      </c>
      <c r="P325" s="4"/>
    </row>
    <row r="326" spans="1:16" x14ac:dyDescent="0.25">
      <c r="A326" s="3"/>
      <c r="L326" s="32">
        <f t="shared" si="11"/>
        <v>0</v>
      </c>
      <c r="P326" s="4"/>
    </row>
    <row r="327" spans="1:16" x14ac:dyDescent="0.25">
      <c r="A327" s="3"/>
      <c r="L327" s="32">
        <f t="shared" si="11"/>
        <v>0</v>
      </c>
      <c r="P327" s="4"/>
    </row>
    <row r="328" spans="1:16" x14ac:dyDescent="0.25">
      <c r="A328" s="3"/>
      <c r="L328" s="32">
        <f t="shared" si="11"/>
        <v>0</v>
      </c>
      <c r="P328" s="4"/>
    </row>
    <row r="329" spans="1:16" ht="15.75" thickBot="1" x14ac:dyDescent="0.3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7">
        <f t="shared" si="11"/>
        <v>0</v>
      </c>
      <c r="M329" s="6"/>
      <c r="N329" s="6"/>
      <c r="O329" s="6"/>
      <c r="P329" s="8"/>
    </row>
  </sheetData>
  <mergeCells count="4">
    <mergeCell ref="P23:P26"/>
    <mergeCell ref="P68:P72"/>
    <mergeCell ref="P142:P147"/>
    <mergeCell ref="P3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1CC8-CDB7-4915-882A-45F75BE420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64959-a11a-4e0c-a193-09e62ea76291">
      <Terms xmlns="http://schemas.microsoft.com/office/infopath/2007/PartnerControls"/>
    </lcf76f155ced4ddcb4097134ff3c332f>
    <TaxCatchAll xmlns="d920c816-6333-40a8-b82c-cd5fa76be6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64073CCE05A43BBABE1963F8CEC4D" ma:contentTypeVersion="11" ma:contentTypeDescription="Create a new document." ma:contentTypeScope="" ma:versionID="ecb420e63f42fccb93e726bae36cf359">
  <xsd:schema xmlns:xsd="http://www.w3.org/2001/XMLSchema" xmlns:xs="http://www.w3.org/2001/XMLSchema" xmlns:p="http://schemas.microsoft.com/office/2006/metadata/properties" xmlns:ns2="c8364959-a11a-4e0c-a193-09e62ea76291" xmlns:ns3="d920c816-6333-40a8-b82c-cd5fa76be67b" targetNamespace="http://schemas.microsoft.com/office/2006/metadata/properties" ma:root="true" ma:fieldsID="84a5fbc6661d09c575b8cd8dcf45cd6a" ns2:_="" ns3:_="">
    <xsd:import namespace="c8364959-a11a-4e0c-a193-09e62ea76291"/>
    <xsd:import namespace="d920c816-6333-40a8-b82c-cd5fa76be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64959-a11a-4e0c-a193-09e62ea76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129d2d-f649-4673-9f13-507282b48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0c816-6333-40a8-b82c-cd5fa76be6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8d7400-9627-4d7b-a9d0-da70b3579855}" ma:internalName="TaxCatchAll" ma:showField="CatchAllData" ma:web="d920c816-6333-40a8-b82c-cd5fa76be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0199B2-97E2-4469-B708-495682C72CBE}">
  <ds:schemaRefs>
    <ds:schemaRef ds:uri="http://schemas.microsoft.com/office/2006/metadata/properties"/>
    <ds:schemaRef ds:uri="http://schemas.microsoft.com/office/infopath/2007/PartnerControls"/>
    <ds:schemaRef ds:uri="c8364959-a11a-4e0c-a193-09e62ea76291"/>
    <ds:schemaRef ds:uri="d920c816-6333-40a8-b82c-cd5fa76be67b"/>
  </ds:schemaRefs>
</ds:datastoreItem>
</file>

<file path=customXml/itemProps2.xml><?xml version="1.0" encoding="utf-8"?>
<ds:datastoreItem xmlns:ds="http://schemas.openxmlformats.org/officeDocument/2006/customXml" ds:itemID="{3D61CF8F-5421-4B85-9F7D-86A2F70C0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364959-a11a-4e0c-a193-09e62ea76291"/>
    <ds:schemaRef ds:uri="d920c816-6333-40a8-b82c-cd5fa76be6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C549A-BEA2-4F93-A5C0-01A288906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Consent Form</vt:lpstr>
      <vt:lpstr>Formulas</vt:lpstr>
      <vt:lpstr>Benchmarking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Trong Khuong Nguyen</cp:lastModifiedBy>
  <cp:revision/>
  <dcterms:created xsi:type="dcterms:W3CDTF">2015-06-05T18:17:20Z</dcterms:created>
  <dcterms:modified xsi:type="dcterms:W3CDTF">2026-05-15T20:59:15Z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0x0101009A364073CCE05A43BBABE1963F8CEC4D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